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ocuments\GitHub\DROMDP\experiments\2026-10-09\"/>
    </mc:Choice>
  </mc:AlternateContent>
  <xr:revisionPtr revIDLastSave="0" documentId="13_ncr:1_{0528EBC1-A2F7-49BC-9E8C-327CFEC866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J6" i="1" s="1"/>
  <c r="B7" i="1"/>
  <c r="V7" i="1" s="1"/>
  <c r="B8" i="1"/>
  <c r="G8" i="1" s="1"/>
  <c r="B9" i="1"/>
  <c r="B10" i="1"/>
  <c r="B11" i="1"/>
  <c r="B12" i="1"/>
  <c r="B13" i="1"/>
  <c r="B14" i="1"/>
  <c r="B15" i="1"/>
  <c r="B16" i="1"/>
  <c r="B17" i="1"/>
  <c r="B18" i="1"/>
  <c r="B19" i="1"/>
  <c r="B20" i="1"/>
  <c r="M20" i="1" s="1"/>
  <c r="B21" i="1"/>
  <c r="S21" i="1" s="1"/>
  <c r="B22" i="1"/>
  <c r="S22" i="1" s="1"/>
  <c r="B23" i="1"/>
  <c r="B24" i="1"/>
  <c r="B25" i="1"/>
  <c r="B26" i="1"/>
  <c r="B27" i="1"/>
  <c r="B28" i="1"/>
  <c r="B29" i="1"/>
  <c r="B30" i="1"/>
  <c r="B31" i="1"/>
  <c r="B32" i="1"/>
  <c r="B33" i="1"/>
  <c r="B34" i="1"/>
  <c r="M34" i="1" s="1"/>
  <c r="B35" i="1"/>
  <c r="V35" i="1" s="1"/>
  <c r="B36" i="1"/>
  <c r="G36" i="1" s="1"/>
  <c r="B37" i="1"/>
  <c r="B38" i="1"/>
  <c r="B39" i="1"/>
  <c r="B40" i="1"/>
  <c r="B2" i="1"/>
  <c r="S2" i="1" s="1"/>
  <c r="AL41" i="1"/>
  <c r="AJ41" i="1"/>
  <c r="AI41" i="1"/>
  <c r="AG41" i="1"/>
  <c r="AF41" i="1"/>
  <c r="AD41" i="1"/>
  <c r="AC41" i="1"/>
  <c r="AA41" i="1"/>
  <c r="Z41" i="1"/>
  <c r="X41" i="1"/>
  <c r="W41" i="1"/>
  <c r="U41" i="1"/>
  <c r="T41" i="1"/>
  <c r="R41" i="1"/>
  <c r="Q41" i="1"/>
  <c r="O41" i="1"/>
  <c r="N41" i="1"/>
  <c r="L41" i="1"/>
  <c r="K41" i="1"/>
  <c r="I41" i="1"/>
  <c r="H41" i="1"/>
  <c r="F41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46" i="1"/>
  <c r="B47" i="1"/>
  <c r="B48" i="1"/>
  <c r="B49" i="1"/>
  <c r="B50" i="1"/>
  <c r="B51" i="1"/>
  <c r="D51" i="1" s="1"/>
  <c r="B52" i="1"/>
  <c r="D52" i="1" s="1"/>
  <c r="B53" i="1"/>
  <c r="D53" i="1" s="1"/>
  <c r="B54" i="1"/>
  <c r="D54" i="1" s="1"/>
  <c r="B55" i="1"/>
  <c r="G55" i="1" s="1"/>
  <c r="B56" i="1"/>
  <c r="G56" i="1" s="1"/>
  <c r="B57" i="1"/>
  <c r="G57" i="1" s="1"/>
  <c r="B58" i="1"/>
  <c r="G58" i="1" s="1"/>
  <c r="B59" i="1"/>
  <c r="G59" i="1" s="1"/>
  <c r="B60" i="1"/>
  <c r="D60" i="1" s="1"/>
  <c r="B61" i="1"/>
  <c r="B62" i="1"/>
  <c r="B63" i="1"/>
  <c r="B64" i="1"/>
  <c r="B65" i="1"/>
  <c r="D65" i="1" s="1"/>
  <c r="B66" i="1"/>
  <c r="D66" i="1" s="1"/>
  <c r="B67" i="1"/>
  <c r="D67" i="1" s="1"/>
  <c r="B68" i="1"/>
  <c r="G68" i="1" s="1"/>
  <c r="B69" i="1"/>
  <c r="D69" i="1" s="1"/>
  <c r="B70" i="1"/>
  <c r="B71" i="1"/>
  <c r="G71" i="1" s="1"/>
  <c r="B72" i="1"/>
  <c r="G72" i="1" s="1"/>
  <c r="B73" i="1"/>
  <c r="G73" i="1" s="1"/>
  <c r="B74" i="1"/>
  <c r="G74" i="1" s="1"/>
  <c r="B75" i="1"/>
  <c r="B76" i="1"/>
  <c r="B77" i="1"/>
  <c r="B78" i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D47" i="1"/>
  <c r="D48" i="1"/>
  <c r="D49" i="1"/>
  <c r="D50" i="1"/>
  <c r="D61" i="1"/>
  <c r="D62" i="1"/>
  <c r="D63" i="1"/>
  <c r="D64" i="1"/>
  <c r="D75" i="1"/>
  <c r="D76" i="1"/>
  <c r="D77" i="1"/>
  <c r="D78" i="1"/>
  <c r="B46" i="1"/>
  <c r="G46" i="1" s="1"/>
  <c r="Q85" i="1"/>
  <c r="O85" i="1"/>
  <c r="N85" i="1"/>
  <c r="L85" i="1"/>
  <c r="H85" i="1"/>
  <c r="F85" i="1"/>
  <c r="E85" i="1"/>
  <c r="C85" i="1"/>
  <c r="G81" i="1"/>
  <c r="G79" i="1"/>
  <c r="G78" i="1"/>
  <c r="G76" i="1"/>
  <c r="G75" i="1"/>
  <c r="G67" i="1"/>
  <c r="G65" i="1"/>
  <c r="G64" i="1"/>
  <c r="G63" i="1"/>
  <c r="G62" i="1"/>
  <c r="G61" i="1"/>
  <c r="G60" i="1"/>
  <c r="G52" i="1"/>
  <c r="G51" i="1"/>
  <c r="G50" i="1"/>
  <c r="G49" i="1"/>
  <c r="G48" i="1"/>
  <c r="G47" i="1"/>
  <c r="M3" i="1"/>
  <c r="J4" i="1"/>
  <c r="J5" i="1"/>
  <c r="G9" i="1"/>
  <c r="V10" i="1"/>
  <c r="S11" i="1"/>
  <c r="P12" i="1"/>
  <c r="V13" i="1"/>
  <c r="D14" i="1"/>
  <c r="M15" i="1"/>
  <c r="S16" i="1"/>
  <c r="M17" i="1"/>
  <c r="J18" i="1"/>
  <c r="S19" i="1"/>
  <c r="G23" i="1"/>
  <c r="V24" i="1"/>
  <c r="M25" i="1"/>
  <c r="S26" i="1"/>
  <c r="S27" i="1"/>
  <c r="M28" i="1"/>
  <c r="M29" i="1"/>
  <c r="S30" i="1"/>
  <c r="M31" i="1"/>
  <c r="J32" i="1"/>
  <c r="J33" i="1"/>
  <c r="G37" i="1"/>
  <c r="V38" i="1"/>
  <c r="S39" i="1"/>
  <c r="D40" i="1"/>
  <c r="E41" i="1"/>
  <c r="C41" i="1"/>
  <c r="AB10" i="1" l="1"/>
  <c r="AE3" i="1"/>
  <c r="AB4" i="1"/>
  <c r="AH18" i="1"/>
  <c r="AH31" i="1"/>
  <c r="V17" i="1"/>
  <c r="AH12" i="1"/>
  <c r="Y32" i="1"/>
  <c r="D11" i="1"/>
  <c r="AH30" i="1"/>
  <c r="AB40" i="1"/>
  <c r="AH32" i="1"/>
  <c r="AB12" i="1"/>
  <c r="V18" i="1"/>
  <c r="AE4" i="1"/>
  <c r="AK2" i="1"/>
  <c r="AE30" i="1"/>
  <c r="AE16" i="1"/>
  <c r="AK38" i="1"/>
  <c r="AE24" i="1"/>
  <c r="Y26" i="1"/>
  <c r="AE26" i="1"/>
  <c r="V19" i="1"/>
  <c r="AE31" i="1"/>
  <c r="Y3" i="1"/>
  <c r="AE32" i="1"/>
  <c r="AK3" i="1"/>
  <c r="Y4" i="1"/>
  <c r="AB18" i="1"/>
  <c r="AK4" i="1"/>
  <c r="Y18" i="1"/>
  <c r="AB32" i="1"/>
  <c r="AK10" i="1"/>
  <c r="AB16" i="1"/>
  <c r="AB17" i="1"/>
  <c r="Y24" i="1"/>
  <c r="AB38" i="1"/>
  <c r="AH3" i="1"/>
  <c r="AK16" i="1"/>
  <c r="AK17" i="1"/>
  <c r="Y30" i="1"/>
  <c r="AH16" i="1"/>
  <c r="AK18" i="1"/>
  <c r="S31" i="1"/>
  <c r="Y31" i="1"/>
  <c r="AH17" i="1"/>
  <c r="AK30" i="1"/>
  <c r="AH15" i="1"/>
  <c r="Y28" i="1"/>
  <c r="Y29" i="1"/>
  <c r="Y2" i="1"/>
  <c r="AE2" i="1"/>
  <c r="AH24" i="1"/>
  <c r="AE38" i="1"/>
  <c r="AE40" i="1"/>
  <c r="Y38" i="1"/>
  <c r="AE10" i="1"/>
  <c r="S25" i="1"/>
  <c r="AB26" i="1"/>
  <c r="Y15" i="1"/>
  <c r="AH38" i="1"/>
  <c r="Y16" i="1"/>
  <c r="AB2" i="1"/>
  <c r="AB30" i="1"/>
  <c r="AE17" i="1"/>
  <c r="AH4" i="1"/>
  <c r="AH40" i="1"/>
  <c r="AK31" i="1"/>
  <c r="AE29" i="1"/>
  <c r="AB14" i="1"/>
  <c r="AB15" i="1"/>
  <c r="P25" i="1"/>
  <c r="AK15" i="1"/>
  <c r="P26" i="1"/>
  <c r="AH26" i="1"/>
  <c r="AH29" i="1"/>
  <c r="Y10" i="1"/>
  <c r="AB24" i="1"/>
  <c r="Y12" i="1"/>
  <c r="Y40" i="1"/>
  <c r="AE12" i="1"/>
  <c r="AK24" i="1"/>
  <c r="Y14" i="1"/>
  <c r="AB28" i="1"/>
  <c r="AE15" i="1"/>
  <c r="AH2" i="1"/>
  <c r="AK29" i="1"/>
  <c r="S32" i="1"/>
  <c r="AB29" i="1"/>
  <c r="D12" i="1"/>
  <c r="Y17" i="1"/>
  <c r="AB3" i="1"/>
  <c r="AB31" i="1"/>
  <c r="AE18" i="1"/>
  <c r="AH10" i="1"/>
  <c r="AK32" i="1"/>
  <c r="V20" i="1"/>
  <c r="V21" i="1"/>
  <c r="AK19" i="1"/>
  <c r="V22" i="1"/>
  <c r="Y5" i="1"/>
  <c r="Y19" i="1"/>
  <c r="Y33" i="1"/>
  <c r="AB5" i="1"/>
  <c r="AB19" i="1"/>
  <c r="AB33" i="1"/>
  <c r="AE5" i="1"/>
  <c r="AE19" i="1"/>
  <c r="AE33" i="1"/>
  <c r="AH5" i="1"/>
  <c r="AH19" i="1"/>
  <c r="AH33" i="1"/>
  <c r="AK6" i="1"/>
  <c r="AK20" i="1"/>
  <c r="AK34" i="1"/>
  <c r="S3" i="1"/>
  <c r="V23" i="1"/>
  <c r="Y6" i="1"/>
  <c r="Y20" i="1"/>
  <c r="Y34" i="1"/>
  <c r="AB6" i="1"/>
  <c r="AB20" i="1"/>
  <c r="AB34" i="1"/>
  <c r="AE6" i="1"/>
  <c r="AE20" i="1"/>
  <c r="AE34" i="1"/>
  <c r="AH6" i="1"/>
  <c r="AH20" i="1"/>
  <c r="AH34" i="1"/>
  <c r="AK7" i="1"/>
  <c r="AK21" i="1"/>
  <c r="AK35" i="1"/>
  <c r="D39" i="1"/>
  <c r="S4" i="1"/>
  <c r="V3" i="1"/>
  <c r="V31" i="1"/>
  <c r="Y7" i="1"/>
  <c r="Y21" i="1"/>
  <c r="Y35" i="1"/>
  <c r="AB7" i="1"/>
  <c r="AB21" i="1"/>
  <c r="AB35" i="1"/>
  <c r="AE7" i="1"/>
  <c r="AE21" i="1"/>
  <c r="AE35" i="1"/>
  <c r="AH7" i="1"/>
  <c r="AH21" i="1"/>
  <c r="AH35" i="1"/>
  <c r="AK8" i="1"/>
  <c r="AK22" i="1"/>
  <c r="AK36" i="1"/>
  <c r="D13" i="1"/>
  <c r="S7" i="1"/>
  <c r="V4" i="1"/>
  <c r="V32" i="1"/>
  <c r="Y8" i="1"/>
  <c r="Y22" i="1"/>
  <c r="Y36" i="1"/>
  <c r="AB8" i="1"/>
  <c r="AB22" i="1"/>
  <c r="AB36" i="1"/>
  <c r="AE8" i="1"/>
  <c r="AE22" i="1"/>
  <c r="AE36" i="1"/>
  <c r="AH8" i="1"/>
  <c r="AH22" i="1"/>
  <c r="AH36" i="1"/>
  <c r="AK9" i="1"/>
  <c r="AK23" i="1"/>
  <c r="AK37" i="1"/>
  <c r="S35" i="1"/>
  <c r="AK33" i="1"/>
  <c r="S8" i="1"/>
  <c r="V33" i="1"/>
  <c r="Y23" i="1"/>
  <c r="AB9" i="1"/>
  <c r="AB37" i="1"/>
  <c r="AE37" i="1"/>
  <c r="AH23" i="1"/>
  <c r="S17" i="1"/>
  <c r="V6" i="1"/>
  <c r="V34" i="1"/>
  <c r="AK11" i="1"/>
  <c r="AK25" i="1"/>
  <c r="AK39" i="1"/>
  <c r="Y11" i="1"/>
  <c r="Y25" i="1"/>
  <c r="Y39" i="1"/>
  <c r="AB11" i="1"/>
  <c r="AB25" i="1"/>
  <c r="AB39" i="1"/>
  <c r="AE11" i="1"/>
  <c r="AE25" i="1"/>
  <c r="AE39" i="1"/>
  <c r="AH11" i="1"/>
  <c r="AH25" i="1"/>
  <c r="AH39" i="1"/>
  <c r="AK12" i="1"/>
  <c r="AK26" i="1"/>
  <c r="AK40" i="1"/>
  <c r="S36" i="1"/>
  <c r="AK5" i="1"/>
  <c r="V5" i="1"/>
  <c r="Y9" i="1"/>
  <c r="Y37" i="1"/>
  <c r="AB23" i="1"/>
  <c r="AE9" i="1"/>
  <c r="AE23" i="1"/>
  <c r="AH9" i="1"/>
  <c r="AH37" i="1"/>
  <c r="S23" i="1"/>
  <c r="V8" i="1"/>
  <c r="V36" i="1"/>
  <c r="AK13" i="1"/>
  <c r="AK27" i="1"/>
  <c r="M18" i="1"/>
  <c r="S24" i="1"/>
  <c r="V9" i="1"/>
  <c r="V37" i="1"/>
  <c r="Y13" i="1"/>
  <c r="Y27" i="1"/>
  <c r="AB13" i="1"/>
  <c r="AB27" i="1"/>
  <c r="AE13" i="1"/>
  <c r="AE27" i="1"/>
  <c r="AH13" i="1"/>
  <c r="AH27" i="1"/>
  <c r="AK14" i="1"/>
  <c r="AK28" i="1"/>
  <c r="AE14" i="1"/>
  <c r="AE28" i="1"/>
  <c r="AH14" i="1"/>
  <c r="AH28" i="1"/>
  <c r="M26" i="1"/>
  <c r="M40" i="1"/>
  <c r="S37" i="1"/>
  <c r="V11" i="1"/>
  <c r="V39" i="1"/>
  <c r="S10" i="1"/>
  <c r="S38" i="1"/>
  <c r="V12" i="1"/>
  <c r="V40" i="1"/>
  <c r="V28" i="1"/>
  <c r="P17" i="1"/>
  <c r="S18" i="1"/>
  <c r="V15" i="1"/>
  <c r="V29" i="1"/>
  <c r="S9" i="1"/>
  <c r="V25" i="1"/>
  <c r="V26" i="1"/>
  <c r="V27" i="1"/>
  <c r="V14" i="1"/>
  <c r="P18" i="1"/>
  <c r="V2" i="1"/>
  <c r="V16" i="1"/>
  <c r="V30" i="1"/>
  <c r="P19" i="1"/>
  <c r="S33" i="1"/>
  <c r="S34" i="1"/>
  <c r="P30" i="1"/>
  <c r="P31" i="1"/>
  <c r="P2" i="1"/>
  <c r="P32" i="1"/>
  <c r="P3" i="1"/>
  <c r="P33" i="1"/>
  <c r="J19" i="1"/>
  <c r="P4" i="1"/>
  <c r="P39" i="1"/>
  <c r="S12" i="1"/>
  <c r="S40" i="1"/>
  <c r="J20" i="1"/>
  <c r="P5" i="1"/>
  <c r="P40" i="1"/>
  <c r="S13" i="1"/>
  <c r="P11" i="1"/>
  <c r="S14" i="1"/>
  <c r="S28" i="1"/>
  <c r="S5" i="1"/>
  <c r="S20" i="1"/>
  <c r="S15" i="1"/>
  <c r="S29" i="1"/>
  <c r="M19" i="1"/>
  <c r="S6" i="1"/>
  <c r="P16" i="1"/>
  <c r="M23" i="1"/>
  <c r="J23" i="1"/>
  <c r="M24" i="1"/>
  <c r="P6" i="1"/>
  <c r="P20" i="1"/>
  <c r="P34" i="1"/>
  <c r="J37" i="1"/>
  <c r="P7" i="1"/>
  <c r="P21" i="1"/>
  <c r="P35" i="1"/>
  <c r="P8" i="1"/>
  <c r="P22" i="1"/>
  <c r="P36" i="1"/>
  <c r="M32" i="1"/>
  <c r="P9" i="1"/>
  <c r="P23" i="1"/>
  <c r="P37" i="1"/>
  <c r="M33" i="1"/>
  <c r="P10" i="1"/>
  <c r="P24" i="1"/>
  <c r="P38" i="1"/>
  <c r="M4" i="1"/>
  <c r="M37" i="1"/>
  <c r="M5" i="1"/>
  <c r="M38" i="1"/>
  <c r="M9" i="1"/>
  <c r="P13" i="1"/>
  <c r="P27" i="1"/>
  <c r="G24" i="1"/>
  <c r="M10" i="1"/>
  <c r="P14" i="1"/>
  <c r="P28" i="1"/>
  <c r="G25" i="1"/>
  <c r="M12" i="1"/>
  <c r="P15" i="1"/>
  <c r="P29" i="1"/>
  <c r="M35" i="1"/>
  <c r="J22" i="1"/>
  <c r="G35" i="1"/>
  <c r="M36" i="1"/>
  <c r="D2" i="1"/>
  <c r="J3" i="1"/>
  <c r="J34" i="1"/>
  <c r="J35" i="1"/>
  <c r="M11" i="1"/>
  <c r="M39" i="1"/>
  <c r="G22" i="1"/>
  <c r="D8" i="1"/>
  <c r="M8" i="1"/>
  <c r="D22" i="1"/>
  <c r="J8" i="1"/>
  <c r="M14" i="1"/>
  <c r="M6" i="1"/>
  <c r="M7" i="1"/>
  <c r="M21" i="1"/>
  <c r="M22" i="1"/>
  <c r="D36" i="1"/>
  <c r="J7" i="1"/>
  <c r="M27" i="1"/>
  <c r="D21" i="1"/>
  <c r="J9" i="1"/>
  <c r="J21" i="1"/>
  <c r="J31" i="1"/>
  <c r="J36" i="1"/>
  <c r="M13" i="1"/>
  <c r="G21" i="1"/>
  <c r="J17" i="1"/>
  <c r="M2" i="1"/>
  <c r="M16" i="1"/>
  <c r="M30" i="1"/>
  <c r="G31" i="1"/>
  <c r="D35" i="1"/>
  <c r="D7" i="1"/>
  <c r="G3" i="1"/>
  <c r="J10" i="1"/>
  <c r="J24" i="1"/>
  <c r="J38" i="1"/>
  <c r="D30" i="1"/>
  <c r="G7" i="1"/>
  <c r="J11" i="1"/>
  <c r="J25" i="1"/>
  <c r="J39" i="1"/>
  <c r="D29" i="1"/>
  <c r="G38" i="1"/>
  <c r="J12" i="1"/>
  <c r="J26" i="1"/>
  <c r="J40" i="1"/>
  <c r="D28" i="1"/>
  <c r="G39" i="1"/>
  <c r="J13" i="1"/>
  <c r="J27" i="1"/>
  <c r="D27" i="1"/>
  <c r="G10" i="1"/>
  <c r="J14" i="1"/>
  <c r="J28" i="1"/>
  <c r="D26" i="1"/>
  <c r="G11" i="1"/>
  <c r="J15" i="1"/>
  <c r="J29" i="1"/>
  <c r="D25" i="1"/>
  <c r="G17" i="1"/>
  <c r="J2" i="1"/>
  <c r="J16" i="1"/>
  <c r="J30" i="1"/>
  <c r="D34" i="1"/>
  <c r="G34" i="1"/>
  <c r="D20" i="1"/>
  <c r="G20" i="1"/>
  <c r="D6" i="1"/>
  <c r="G6" i="1"/>
  <c r="D33" i="1"/>
  <c r="G33" i="1"/>
  <c r="D19" i="1"/>
  <c r="G19" i="1"/>
  <c r="D5" i="1"/>
  <c r="D32" i="1"/>
  <c r="D18" i="1"/>
  <c r="D4" i="1"/>
  <c r="G4" i="1"/>
  <c r="G5" i="1"/>
  <c r="G32" i="1"/>
  <c r="G18" i="1"/>
  <c r="D3" i="1"/>
  <c r="G12" i="1"/>
  <c r="G26" i="1"/>
  <c r="G40" i="1"/>
  <c r="G13" i="1"/>
  <c r="G27" i="1"/>
  <c r="D17" i="1"/>
  <c r="G14" i="1"/>
  <c r="G28" i="1"/>
  <c r="D16" i="1"/>
  <c r="G15" i="1"/>
  <c r="G29" i="1"/>
  <c r="D31" i="1"/>
  <c r="D15" i="1"/>
  <c r="G2" i="1"/>
  <c r="G16" i="1"/>
  <c r="G30" i="1"/>
  <c r="D38" i="1"/>
  <c r="D24" i="1"/>
  <c r="D10" i="1"/>
  <c r="D37" i="1"/>
  <c r="D23" i="1"/>
  <c r="D9" i="1"/>
  <c r="D57" i="1"/>
  <c r="D74" i="1"/>
  <c r="D73" i="1"/>
  <c r="D59" i="1"/>
  <c r="G83" i="1"/>
  <c r="D72" i="1"/>
  <c r="D58" i="1"/>
  <c r="G84" i="1"/>
  <c r="D71" i="1"/>
  <c r="G53" i="1"/>
  <c r="G69" i="1"/>
  <c r="D70" i="1"/>
  <c r="D56" i="1"/>
  <c r="G70" i="1"/>
  <c r="D55" i="1"/>
  <c r="D68" i="1"/>
  <c r="G80" i="1"/>
  <c r="G82" i="1"/>
  <c r="G77" i="1"/>
  <c r="D46" i="1"/>
  <c r="G54" i="1"/>
  <c r="G66" i="1"/>
  <c r="AJ42" i="1" l="1"/>
  <c r="AK41" i="1"/>
  <c r="AG42" i="1"/>
  <c r="X42" i="1"/>
  <c r="Y41" i="1"/>
  <c r="AB41" i="1"/>
  <c r="AE41" i="1"/>
  <c r="AA42" i="1"/>
  <c r="AD42" i="1"/>
  <c r="S41" i="1"/>
  <c r="AH41" i="1"/>
  <c r="U42" i="1"/>
  <c r="V41" i="1"/>
  <c r="R42" i="1"/>
  <c r="O42" i="1"/>
  <c r="P41" i="1"/>
  <c r="L42" i="1"/>
  <c r="M41" i="1"/>
  <c r="D41" i="1"/>
  <c r="I42" i="1"/>
  <c r="J41" i="1"/>
  <c r="C42" i="1"/>
  <c r="F42" i="1"/>
  <c r="G41" i="1"/>
  <c r="O86" i="1"/>
  <c r="G85" i="1"/>
  <c r="F86" i="1"/>
  <c r="C86" i="1"/>
  <c r="P85" i="1"/>
  <c r="M85" i="1"/>
  <c r="L86" i="1"/>
  <c r="D85" i="1"/>
</calcChain>
</file>

<file path=xl/sharedStrings.xml><?xml version="1.0" encoding="utf-8"?>
<sst xmlns="http://schemas.openxmlformats.org/spreadsheetml/2006/main" count="171" uniqueCount="57">
  <si>
    <t>Instance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</si>
  <si>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</si>
  <si>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</si>
  <si>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</si>
  <si>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</si>
  <si>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</si>
  <si>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</si>
  <si>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</si>
  <si>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</si>
  <si>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</si>
  <si>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</si>
  <si>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</si>
  <si>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</si>
  <si>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</si>
  <si>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</si>
  <si>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</si>
  <si>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</si>
  <si>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</si>
  <si>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</si>
  <si>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</si>
  <si>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</si>
  <si>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</si>
  <si>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</si>
  <si>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</si>
  <si>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</si>
  <si>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</si>
  <si>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</si>
  <si>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</si>
  <si>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</si>
  <si>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</si>
  <si>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</si>
  <si>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</si>
  <si>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</si>
  <si>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</si>
  <si>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</si>
  <si>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</si>
  <si>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</si>
  <si>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</si>
  <si>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</si>
  <si>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</si>
  <si>
    <t>HUBREL</t>
  </si>
  <si>
    <t>LabDown</t>
  </si>
  <si>
    <t>SOTA</t>
  </si>
  <si>
    <t>UNIFRAND</t>
  </si>
  <si>
    <t>BEST</t>
  </si>
  <si>
    <t>dev</t>
  </si>
  <si>
    <t>t</t>
  </si>
  <si>
    <t>AdaptShake</t>
  </si>
  <si>
    <t>BallRuinRec</t>
  </si>
  <si>
    <t>DegreeB</t>
  </si>
  <si>
    <t>GreedyRep</t>
  </si>
  <si>
    <t>HubForc</t>
  </si>
  <si>
    <t>HubRel</t>
  </si>
  <si>
    <t>Junie</t>
  </si>
  <si>
    <t>RandLab</t>
  </si>
  <si>
    <t>Spatial</t>
  </si>
  <si>
    <t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</si>
</sst>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6" xfId="0" applyBorder="1"/>
    <xf numFmtId="0" fontId="0" fillId="2" borderId="1" xfId="0" applyFill="1" applyBorder="1"/>
    <xf numFmtId="0" fontId="0" fillId="0" borderId="7" xfId="0" applyBorder="1"/>
    <xf numFmtId="0" fontId="0" fillId="0" borderId="8" xfId="0" applyBorder="1"/>
    <xf numFmtId="164" fontId="0" fillId="0" borderId="7" xfId="0" applyNumberFormat="1" applyBorder="1"/>
    <xf numFmtId="0" fontId="0" fillId="0" borderId="1" xfId="0" applyBorder="1"/>
    <xf numFmtId="10" fontId="0" fillId="0" borderId="0" xfId="1" applyNumberFormat="1" applyFont="1" applyBorder="1"/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6"/>
  <sheetViews>
    <sheetView tabSelected="1" topLeftCell="T1" workbookViewId="0">
      <selection activeCell="R1" sqref="R1"/>
    </sheetView>
  </sheetViews>
  <sheetFormatPr baseColWidth="10" defaultColWidth="8.7265625" defaultRowHeight="14.5" x14ac:dyDescent="0.35"/>
  <cols>
    <col min="1" max="1" width="13.81640625" customWidth="1"/>
  </cols>
  <sheetData>
    <row r="1" spans="1:38" ht="15" thickBot="1" x14ac:dyDescent="0.4">
      <c r="A1" s="5" t="s">
        <v>0</v>
      </c>
      <c r="B1" s="6" t="s">
        <v>44</v>
      </c>
      <c r="C1" s="5" t="s">
        <v>47</v>
      </c>
      <c r="D1" s="7" t="s">
        <v>45</v>
      </c>
      <c r="E1" s="8" t="s">
        <v>46</v>
      </c>
      <c r="F1" s="5" t="s">
        <v>48</v>
      </c>
      <c r="G1" s="7" t="s">
        <v>45</v>
      </c>
      <c r="H1" s="8" t="s">
        <v>46</v>
      </c>
      <c r="I1" s="5" t="s">
        <v>49</v>
      </c>
      <c r="J1" s="7" t="s">
        <v>45</v>
      </c>
      <c r="K1" s="8" t="s">
        <v>46</v>
      </c>
      <c r="L1" s="5" t="s">
        <v>50</v>
      </c>
      <c r="M1" s="7" t="s">
        <v>45</v>
      </c>
      <c r="N1" s="8" t="s">
        <v>46</v>
      </c>
      <c r="O1" s="5" t="s">
        <v>51</v>
      </c>
      <c r="P1" s="7" t="s">
        <v>45</v>
      </c>
      <c r="Q1" s="8" t="s">
        <v>46</v>
      </c>
      <c r="R1" s="5" t="s">
        <v>52</v>
      </c>
      <c r="S1" s="7" t="s">
        <v>45</v>
      </c>
      <c r="T1" s="8" t="s">
        <v>46</v>
      </c>
      <c r="U1" s="5" t="s">
        <v>53</v>
      </c>
      <c r="V1" s="7" t="s">
        <v>45</v>
      </c>
      <c r="W1" s="8" t="s">
        <v>46</v>
      </c>
      <c r="X1" s="5" t="s">
        <v>41</v>
      </c>
      <c r="Y1" s="7" t="s">
        <v>45</v>
      </c>
      <c r="Z1" s="8" t="s">
        <v>46</v>
      </c>
      <c r="AA1" s="5" t="s">
        <v>54</v>
      </c>
      <c r="AB1" s="7" t="s">
        <v>45</v>
      </c>
      <c r="AC1" s="8" t="s">
        <v>46</v>
      </c>
      <c r="AD1" s="5" t="s">
        <v>42</v>
      </c>
      <c r="AE1" s="7" t="s">
        <v>45</v>
      </c>
      <c r="AF1" s="8" t="s">
        <v>46</v>
      </c>
      <c r="AG1" s="5" t="s">
        <v>55</v>
      </c>
      <c r="AH1" s="7" t="s">
        <v>45</v>
      </c>
      <c r="AI1" s="8" t="s">
        <v>46</v>
      </c>
      <c r="AJ1" s="5" t="s">
        <v>56</v>
      </c>
      <c r="AK1" s="7" t="s">
        <v>45</v>
      </c>
      <c r="AL1" s="8" t="s">
        <v>46</v>
      </c>
    </row>
    <row r="2" spans="1:38" x14ac:dyDescent="0.35">
      <c r="A2" t="s">
        <v>1</v>
      </c>
      <c r="B2" s="4">
        <f>MIN(C2,F2,I2,L2,O2,R2,U2,X2,AA2,AD2,AG2,AJ2)</f>
        <v>123</v>
      </c>
      <c r="C2" s="2">
        <v>124</v>
      </c>
      <c r="D2" s="1">
        <f>(C2-$B2)/$B2</f>
        <v>8.130081300813009E-3</v>
      </c>
      <c r="E2" s="3">
        <v>0.28200000524520874</v>
      </c>
      <c r="F2" s="2">
        <v>124</v>
      </c>
      <c r="G2" s="1">
        <f>(F2-$B2)/$B2</f>
        <v>8.130081300813009E-3</v>
      </c>
      <c r="H2" s="3">
        <v>0.29300001263618469</v>
      </c>
      <c r="I2" s="2">
        <v>127</v>
      </c>
      <c r="J2" s="1">
        <f>(I2-$B2)/$B2</f>
        <v>3.2520325203252036E-2</v>
      </c>
      <c r="K2" s="3">
        <v>0.27300000190734863</v>
      </c>
      <c r="L2" s="2">
        <v>124</v>
      </c>
      <c r="M2" s="1">
        <f>(L2-$B2)/$B2</f>
        <v>8.130081300813009E-3</v>
      </c>
      <c r="N2" s="3">
        <v>0.19099999964237213</v>
      </c>
      <c r="O2" s="2">
        <v>126</v>
      </c>
      <c r="P2" s="1">
        <f>(O2-$B2)/$B2</f>
        <v>2.4390243902439025E-2</v>
      </c>
      <c r="Q2" s="3">
        <v>0.15899999439716339</v>
      </c>
      <c r="R2" s="2">
        <v>125</v>
      </c>
      <c r="S2" s="1">
        <f>(R2-$B2)/$B2</f>
        <v>1.6260162601626018E-2</v>
      </c>
      <c r="T2" s="3">
        <v>0.14100000262260437</v>
      </c>
      <c r="U2">
        <v>126</v>
      </c>
      <c r="V2" s="1">
        <f>(U2-$B2)/$B2</f>
        <v>2.4390243902439025E-2</v>
      </c>
      <c r="W2" s="3">
        <v>0.14200000464916229</v>
      </c>
      <c r="X2" s="2">
        <v>126</v>
      </c>
      <c r="Y2" s="1">
        <f>(X2-$B2)/$B2</f>
        <v>2.4390243902439025E-2</v>
      </c>
      <c r="Z2" s="3">
        <v>6.5999999642372131E-2</v>
      </c>
      <c r="AA2" s="2">
        <v>123</v>
      </c>
      <c r="AB2" s="1">
        <f>(AA2-$B2)/$B2</f>
        <v>0</v>
      </c>
      <c r="AC2" s="3">
        <v>0.18299999833106995</v>
      </c>
      <c r="AD2" s="2">
        <v>125</v>
      </c>
      <c r="AE2" s="1">
        <f>(AD2-$B2)/$B2</f>
        <v>1.6260162601626018E-2</v>
      </c>
      <c r="AF2" s="3">
        <v>0.49700000882148743</v>
      </c>
      <c r="AG2" s="2">
        <v>126</v>
      </c>
      <c r="AH2" s="1">
        <f>(AG2-$B2)/$B2</f>
        <v>2.4390243902439025E-2</v>
      </c>
      <c r="AI2" s="3">
        <v>0.20499999821186066</v>
      </c>
      <c r="AJ2" s="2">
        <v>124</v>
      </c>
      <c r="AK2" s="1">
        <f>(AJ2-$B2)/$B2</f>
        <v>8.130081300813009E-3</v>
      </c>
      <c r="AL2" s="3">
        <v>0.32400000095367432</v>
      </c>
    </row>
    <row r="3" spans="1:38" x14ac:dyDescent="0.35">
      <c r="A3" t="s">
        <v>2</v>
      </c>
      <c r="B3" s="4">
        <f t="shared" ref="B3:B40" si="0">MIN(C3,F3,I3,L3,O3,R3,U3,X3,AA3,AD3,AG3,AJ3)</f>
        <v>160</v>
      </c>
      <c r="C3" s="2">
        <v>160</v>
      </c>
      <c r="D3" s="1">
        <f t="shared" ref="D3:D40" si="1">(C3-$B3)/$B3</f>
        <v>0</v>
      </c>
      <c r="E3" s="3">
        <v>0.30700001120567322</v>
      </c>
      <c r="F3" s="2">
        <v>161</v>
      </c>
      <c r="G3" s="1">
        <f t="shared" ref="G3:G40" si="2">(F3-$B3)/$B3</f>
        <v>6.2500000000000003E-3</v>
      </c>
      <c r="H3" s="3">
        <v>0.32499998807907104</v>
      </c>
      <c r="I3" s="2">
        <v>174</v>
      </c>
      <c r="J3" s="1">
        <f t="shared" ref="J3:J40" si="3">(I3-$B3)/$B3</f>
        <v>8.7499999999999994E-2</v>
      </c>
      <c r="K3" s="3">
        <v>0.52300000190734863</v>
      </c>
      <c r="L3" s="2">
        <v>161</v>
      </c>
      <c r="M3" s="1">
        <f t="shared" ref="M3:M40" si="4">(L3-$B3)/$B3</f>
        <v>6.2500000000000003E-3</v>
      </c>
      <c r="N3" s="3">
        <v>0.48800000548362732</v>
      </c>
      <c r="O3" s="2">
        <v>160</v>
      </c>
      <c r="P3" s="1">
        <f t="shared" ref="P3:P40" si="5">(O3-$B3)/$B3</f>
        <v>0</v>
      </c>
      <c r="Q3" s="3">
        <v>0.22800000011920929</v>
      </c>
      <c r="R3" s="2">
        <v>161</v>
      </c>
      <c r="S3" s="1">
        <f t="shared" ref="S3:S40" si="6">(R3-$B3)/$B3</f>
        <v>6.2500000000000003E-3</v>
      </c>
      <c r="T3" s="3">
        <v>0.48500001430511475</v>
      </c>
      <c r="U3">
        <v>166</v>
      </c>
      <c r="V3" s="1">
        <f t="shared" ref="V3:V40" si="7">(U3-$B3)/$B3</f>
        <v>3.7499999999999999E-2</v>
      </c>
      <c r="W3" s="3">
        <v>0.43700000643730164</v>
      </c>
      <c r="X3" s="2">
        <v>181</v>
      </c>
      <c r="Y3" s="1">
        <f t="shared" ref="Y3:Y40" si="8">(X3-$B3)/$B3</f>
        <v>0.13125000000000001</v>
      </c>
      <c r="Z3" s="3">
        <v>0.16699999570846558</v>
      </c>
      <c r="AA3" s="2">
        <v>160</v>
      </c>
      <c r="AB3" s="1">
        <f t="shared" ref="AB3:AB40" si="9">(AA3-$B3)/$B3</f>
        <v>0</v>
      </c>
      <c r="AC3" s="3">
        <v>0.28200000524520874</v>
      </c>
      <c r="AD3" s="2">
        <v>160</v>
      </c>
      <c r="AE3" s="1">
        <f t="shared" ref="AE3:AE40" si="10">(AD3-$B3)/$B3</f>
        <v>0</v>
      </c>
      <c r="AF3" s="3">
        <v>0.67299997806549072</v>
      </c>
      <c r="AG3" s="2">
        <v>168</v>
      </c>
      <c r="AH3" s="1">
        <f t="shared" ref="AH3:AH40" si="11">(AG3-$B3)/$B3</f>
        <v>0.05</v>
      </c>
      <c r="AI3" s="3">
        <v>0.25200000405311584</v>
      </c>
      <c r="AJ3" s="2">
        <v>162</v>
      </c>
      <c r="AK3" s="1">
        <f t="shared" ref="AK3:AK40" si="12">(AJ3-$B3)/$B3</f>
        <v>1.2500000000000001E-2</v>
      </c>
      <c r="AL3" s="3">
        <v>0.64200001955032349</v>
      </c>
    </row>
    <row r="4" spans="1:38" x14ac:dyDescent="0.35">
      <c r="A4" t="s">
        <v>3</v>
      </c>
      <c r="B4" s="4">
        <f t="shared" si="0"/>
        <v>283</v>
      </c>
      <c r="C4" s="2">
        <v>286</v>
      </c>
      <c r="D4" s="1">
        <f t="shared" si="1"/>
        <v>1.0600706713780919E-2</v>
      </c>
      <c r="E4" s="3">
        <v>0.7929999828338623</v>
      </c>
      <c r="F4" s="2">
        <v>283</v>
      </c>
      <c r="G4" s="1">
        <f t="shared" si="2"/>
        <v>0</v>
      </c>
      <c r="H4" s="3">
        <v>2.9100000858306885</v>
      </c>
      <c r="I4" s="2">
        <v>314</v>
      </c>
      <c r="J4" s="1">
        <f t="shared" si="3"/>
        <v>0.10954063604240283</v>
      </c>
      <c r="K4" s="3">
        <v>1.2400000095367432</v>
      </c>
      <c r="L4" s="2">
        <v>307</v>
      </c>
      <c r="M4" s="1">
        <f t="shared" si="4"/>
        <v>8.4805653710247356E-2</v>
      </c>
      <c r="N4" s="3">
        <v>0.77300000190734863</v>
      </c>
      <c r="O4" s="2">
        <v>287</v>
      </c>
      <c r="P4" s="1">
        <f t="shared" si="5"/>
        <v>1.4134275618374558E-2</v>
      </c>
      <c r="Q4" s="3">
        <v>1.4579999446868896</v>
      </c>
      <c r="R4" s="2">
        <v>302</v>
      </c>
      <c r="S4" s="1">
        <f t="shared" si="6"/>
        <v>6.7137809187279157E-2</v>
      </c>
      <c r="T4" s="3">
        <v>1.7730000019073486</v>
      </c>
      <c r="U4">
        <v>299</v>
      </c>
      <c r="V4" s="1">
        <f t="shared" si="7"/>
        <v>5.6537102473498232E-2</v>
      </c>
      <c r="W4" s="3">
        <v>1.5779999494552612</v>
      </c>
      <c r="X4" s="2">
        <v>317</v>
      </c>
      <c r="Y4" s="1">
        <f t="shared" si="8"/>
        <v>0.12014134275618374</v>
      </c>
      <c r="Z4" s="3">
        <v>0.38600000739097595</v>
      </c>
      <c r="AA4" s="2">
        <v>285</v>
      </c>
      <c r="AB4" s="1">
        <f t="shared" si="9"/>
        <v>7.0671378091872791E-3</v>
      </c>
      <c r="AC4" s="3">
        <v>1.7039999961853027</v>
      </c>
      <c r="AD4" s="2">
        <v>298</v>
      </c>
      <c r="AE4" s="1">
        <f t="shared" si="10"/>
        <v>5.3003533568904596E-2</v>
      </c>
      <c r="AF4" s="3">
        <v>2.0959999561309814</v>
      </c>
      <c r="AG4" s="2">
        <v>297</v>
      </c>
      <c r="AH4" s="1">
        <f t="shared" si="11"/>
        <v>4.9469964664310952E-2</v>
      </c>
      <c r="AI4" s="3">
        <v>1.7480000257492065</v>
      </c>
      <c r="AJ4" s="2">
        <v>311</v>
      </c>
      <c r="AK4" s="1">
        <f t="shared" si="12"/>
        <v>9.8939929328621903E-2</v>
      </c>
      <c r="AL4" s="3">
        <v>1.0549999475479126</v>
      </c>
    </row>
    <row r="5" spans="1:38" x14ac:dyDescent="0.35">
      <c r="A5" t="s">
        <v>4</v>
      </c>
      <c r="B5" s="4">
        <f t="shared" si="0"/>
        <v>45</v>
      </c>
      <c r="C5" s="2">
        <v>45</v>
      </c>
      <c r="D5" s="1">
        <f t="shared" si="1"/>
        <v>0</v>
      </c>
      <c r="E5" s="3">
        <v>3.2000001519918442E-2</v>
      </c>
      <c r="F5" s="2">
        <v>45</v>
      </c>
      <c r="G5" s="1">
        <f t="shared" si="2"/>
        <v>0</v>
      </c>
      <c r="H5" s="3">
        <v>2.9999999329447746E-2</v>
      </c>
      <c r="I5" s="2">
        <v>45</v>
      </c>
      <c r="J5" s="1">
        <f t="shared" si="3"/>
        <v>0</v>
      </c>
      <c r="K5" s="3">
        <v>5.0999999046325684E-2</v>
      </c>
      <c r="L5" s="2">
        <v>45</v>
      </c>
      <c r="M5" s="1">
        <f t="shared" si="4"/>
        <v>0</v>
      </c>
      <c r="N5" s="3">
        <v>3.2999999821186066E-2</v>
      </c>
      <c r="O5" s="2">
        <v>45</v>
      </c>
      <c r="P5" s="1">
        <f t="shared" si="5"/>
        <v>0</v>
      </c>
      <c r="Q5" s="3">
        <v>4.5000001788139343E-2</v>
      </c>
      <c r="R5" s="2">
        <v>45</v>
      </c>
      <c r="S5" s="1">
        <f t="shared" si="6"/>
        <v>0</v>
      </c>
      <c r="T5" s="3">
        <v>2.3000000044703484E-2</v>
      </c>
      <c r="U5">
        <v>45</v>
      </c>
      <c r="V5" s="1">
        <f t="shared" si="7"/>
        <v>0</v>
      </c>
      <c r="W5" s="3">
        <v>2.9999999329447746E-2</v>
      </c>
      <c r="X5" s="2">
        <v>47</v>
      </c>
      <c r="Y5" s="1">
        <f t="shared" si="8"/>
        <v>4.4444444444444446E-2</v>
      </c>
      <c r="Z5" s="3">
        <v>1.4000000432133675E-2</v>
      </c>
      <c r="AA5" s="2">
        <v>45</v>
      </c>
      <c r="AB5" s="1">
        <f t="shared" si="9"/>
        <v>0</v>
      </c>
      <c r="AC5" s="3">
        <v>5.000000074505806E-2</v>
      </c>
      <c r="AD5" s="2">
        <v>45</v>
      </c>
      <c r="AE5" s="1">
        <f t="shared" si="10"/>
        <v>0</v>
      </c>
      <c r="AF5" s="3">
        <v>4.3000001460313797E-2</v>
      </c>
      <c r="AG5" s="2">
        <v>45</v>
      </c>
      <c r="AH5" s="1">
        <f t="shared" si="11"/>
        <v>0</v>
      </c>
      <c r="AI5" s="3">
        <v>4.3000001460313797E-2</v>
      </c>
      <c r="AJ5" s="2">
        <v>45</v>
      </c>
      <c r="AK5" s="1">
        <f t="shared" si="12"/>
        <v>0</v>
      </c>
      <c r="AL5" s="3">
        <v>2.6000000536441803E-2</v>
      </c>
    </row>
    <row r="6" spans="1:38" x14ac:dyDescent="0.35">
      <c r="A6" t="s">
        <v>5</v>
      </c>
      <c r="B6" s="4">
        <f t="shared" si="0"/>
        <v>36</v>
      </c>
      <c r="C6" s="2">
        <v>36</v>
      </c>
      <c r="D6" s="1">
        <f t="shared" si="1"/>
        <v>0</v>
      </c>
      <c r="E6" s="3">
        <v>3.0000000260770321E-3</v>
      </c>
      <c r="F6" s="2">
        <v>36</v>
      </c>
      <c r="G6" s="1">
        <f t="shared" si="2"/>
        <v>0</v>
      </c>
      <c r="H6" s="3">
        <v>3.0000000260770321E-3</v>
      </c>
      <c r="I6" s="2">
        <v>36</v>
      </c>
      <c r="J6" s="1">
        <f t="shared" si="3"/>
        <v>0</v>
      </c>
      <c r="K6" s="3">
        <v>8.999999612569809E-3</v>
      </c>
      <c r="L6" s="2">
        <v>36</v>
      </c>
      <c r="M6" s="1">
        <f t="shared" si="4"/>
        <v>0</v>
      </c>
      <c r="N6" s="3">
        <v>3.0000000260770321E-3</v>
      </c>
      <c r="O6" s="2">
        <v>36</v>
      </c>
      <c r="P6" s="1">
        <f t="shared" si="5"/>
        <v>0</v>
      </c>
      <c r="Q6" s="3">
        <v>3.0000000260770321E-3</v>
      </c>
      <c r="R6" s="2">
        <v>36</v>
      </c>
      <c r="S6" s="1">
        <f t="shared" si="6"/>
        <v>0</v>
      </c>
      <c r="T6" s="3">
        <v>3.0000000260770321E-3</v>
      </c>
      <c r="U6">
        <v>36</v>
      </c>
      <c r="V6" s="1">
        <f t="shared" si="7"/>
        <v>0</v>
      </c>
      <c r="W6" s="3">
        <v>2.0000000949949026E-3</v>
      </c>
      <c r="X6" s="2">
        <v>36</v>
      </c>
      <c r="Y6" s="1">
        <f t="shared" si="8"/>
        <v>0</v>
      </c>
      <c r="Z6" s="3">
        <v>2.0000000949949026E-3</v>
      </c>
      <c r="AA6" s="2">
        <v>36</v>
      </c>
      <c r="AB6" s="1">
        <f t="shared" si="9"/>
        <v>0</v>
      </c>
      <c r="AC6" s="3">
        <v>3.0000000260770321E-3</v>
      </c>
      <c r="AD6" s="2">
        <v>36</v>
      </c>
      <c r="AE6" s="1">
        <f t="shared" si="10"/>
        <v>0</v>
      </c>
      <c r="AF6" s="3">
        <v>3.0000000260770321E-3</v>
      </c>
      <c r="AG6" s="2">
        <v>36</v>
      </c>
      <c r="AH6" s="1">
        <f t="shared" si="11"/>
        <v>0</v>
      </c>
      <c r="AI6" s="3">
        <v>2.0000000949949026E-3</v>
      </c>
      <c r="AJ6" s="2">
        <v>36</v>
      </c>
      <c r="AK6" s="1">
        <f t="shared" si="12"/>
        <v>0</v>
      </c>
      <c r="AL6" s="3">
        <v>2.0000000949949026E-3</v>
      </c>
    </row>
    <row r="7" spans="1:38" x14ac:dyDescent="0.35">
      <c r="A7" t="s">
        <v>6</v>
      </c>
      <c r="B7" s="4">
        <f t="shared" si="0"/>
        <v>42</v>
      </c>
      <c r="C7" s="2">
        <v>42</v>
      </c>
      <c r="D7" s="1">
        <f t="shared" si="1"/>
        <v>0</v>
      </c>
      <c r="E7" s="3">
        <v>4.999999888241291E-3</v>
      </c>
      <c r="F7" s="2">
        <v>42</v>
      </c>
      <c r="G7" s="1">
        <f t="shared" si="2"/>
        <v>0</v>
      </c>
      <c r="H7" s="3">
        <v>4.999999888241291E-3</v>
      </c>
      <c r="I7" s="2">
        <v>42</v>
      </c>
      <c r="J7" s="1">
        <f t="shared" si="3"/>
        <v>0</v>
      </c>
      <c r="K7" s="3">
        <v>4.999999888241291E-3</v>
      </c>
      <c r="L7" s="2">
        <v>42</v>
      </c>
      <c r="M7" s="1">
        <f t="shared" si="4"/>
        <v>0</v>
      </c>
      <c r="N7" s="3">
        <v>4.0000001899898052E-3</v>
      </c>
      <c r="O7" s="2">
        <v>42</v>
      </c>
      <c r="P7" s="1">
        <f t="shared" si="5"/>
        <v>0</v>
      </c>
      <c r="Q7" s="3">
        <v>6.0000000521540642E-3</v>
      </c>
      <c r="R7" s="2">
        <v>42</v>
      </c>
      <c r="S7" s="1">
        <f t="shared" si="6"/>
        <v>0</v>
      </c>
      <c r="T7" s="3">
        <v>4.0000001899898052E-3</v>
      </c>
      <c r="U7">
        <v>42</v>
      </c>
      <c r="V7" s="1">
        <f t="shared" si="7"/>
        <v>0</v>
      </c>
      <c r="W7" s="3">
        <v>4.0000001899898052E-3</v>
      </c>
      <c r="X7" s="2">
        <v>42</v>
      </c>
      <c r="Y7" s="1">
        <f t="shared" si="8"/>
        <v>0</v>
      </c>
      <c r="Z7" s="3">
        <v>3.0000000260770321E-3</v>
      </c>
      <c r="AA7" s="2">
        <v>42</v>
      </c>
      <c r="AB7" s="1">
        <f t="shared" si="9"/>
        <v>0</v>
      </c>
      <c r="AC7" s="3">
        <v>4.999999888241291E-3</v>
      </c>
      <c r="AD7" s="2">
        <v>42</v>
      </c>
      <c r="AE7" s="1">
        <f t="shared" si="10"/>
        <v>0</v>
      </c>
      <c r="AF7" s="3">
        <v>6.0000000521540642E-3</v>
      </c>
      <c r="AG7" s="2">
        <v>42</v>
      </c>
      <c r="AH7" s="1">
        <f t="shared" si="11"/>
        <v>0</v>
      </c>
      <c r="AI7" s="3">
        <v>4.0000001899898052E-3</v>
      </c>
      <c r="AJ7" s="2">
        <v>42</v>
      </c>
      <c r="AK7" s="1">
        <f t="shared" si="12"/>
        <v>0</v>
      </c>
      <c r="AL7" s="3">
        <v>3.0000000260770321E-3</v>
      </c>
    </row>
    <row r="8" spans="1:38" x14ac:dyDescent="0.35">
      <c r="A8" t="s">
        <v>7</v>
      </c>
      <c r="B8" s="4">
        <f t="shared" si="0"/>
        <v>91</v>
      </c>
      <c r="C8" s="2">
        <v>91</v>
      </c>
      <c r="D8" s="1">
        <f t="shared" si="1"/>
        <v>0</v>
      </c>
      <c r="E8" s="3">
        <v>3.9999999105930328E-2</v>
      </c>
      <c r="F8" s="2">
        <v>91</v>
      </c>
      <c r="G8" s="1">
        <f t="shared" si="2"/>
        <v>0</v>
      </c>
      <c r="H8" s="3">
        <v>6.4999997615814209E-2</v>
      </c>
      <c r="I8" s="2">
        <v>91</v>
      </c>
      <c r="J8" s="1">
        <f t="shared" si="3"/>
        <v>0</v>
      </c>
      <c r="K8" s="3">
        <v>6.3000001013278961E-2</v>
      </c>
      <c r="L8" s="2">
        <v>91</v>
      </c>
      <c r="M8" s="1">
        <f t="shared" si="4"/>
        <v>0</v>
      </c>
      <c r="N8" s="3">
        <v>3.0999999493360519E-2</v>
      </c>
      <c r="O8" s="2">
        <v>91</v>
      </c>
      <c r="P8" s="1">
        <f t="shared" si="5"/>
        <v>0</v>
      </c>
      <c r="Q8" s="3">
        <v>1.8999999389052391E-2</v>
      </c>
      <c r="R8" s="2">
        <v>91</v>
      </c>
      <c r="S8" s="1">
        <f t="shared" si="6"/>
        <v>0</v>
      </c>
      <c r="T8" s="3">
        <v>2.500000037252903E-2</v>
      </c>
      <c r="U8">
        <v>91</v>
      </c>
      <c r="V8" s="1">
        <f t="shared" si="7"/>
        <v>0</v>
      </c>
      <c r="W8" s="3">
        <v>1.8999999389052391E-2</v>
      </c>
      <c r="X8" s="2">
        <v>91</v>
      </c>
      <c r="Y8" s="1">
        <f t="shared" si="8"/>
        <v>0</v>
      </c>
      <c r="Z8" s="3">
        <v>1.7999999225139618E-2</v>
      </c>
      <c r="AA8" s="2">
        <v>91</v>
      </c>
      <c r="AB8" s="1">
        <f t="shared" si="9"/>
        <v>0</v>
      </c>
      <c r="AC8" s="3">
        <v>3.0999999493360519E-2</v>
      </c>
      <c r="AD8" s="2">
        <v>91</v>
      </c>
      <c r="AE8" s="1">
        <f t="shared" si="10"/>
        <v>0</v>
      </c>
      <c r="AF8" s="3">
        <v>4.3999999761581421E-2</v>
      </c>
      <c r="AG8" s="2">
        <v>91</v>
      </c>
      <c r="AH8" s="1">
        <f t="shared" si="11"/>
        <v>0</v>
      </c>
      <c r="AI8" s="3">
        <v>2.8000000864267349E-2</v>
      </c>
      <c r="AJ8" s="2">
        <v>91</v>
      </c>
      <c r="AK8" s="1">
        <f t="shared" si="12"/>
        <v>0</v>
      </c>
      <c r="AL8" s="3">
        <v>6.7000001668930054E-2</v>
      </c>
    </row>
    <row r="9" spans="1:38" x14ac:dyDescent="0.35">
      <c r="A9" t="s">
        <v>8</v>
      </c>
      <c r="B9" s="4">
        <f t="shared" si="0"/>
        <v>180</v>
      </c>
      <c r="C9" s="2">
        <v>181</v>
      </c>
      <c r="D9" s="1">
        <f t="shared" si="1"/>
        <v>5.5555555555555558E-3</v>
      </c>
      <c r="E9" s="3">
        <v>0.54199999570846558</v>
      </c>
      <c r="F9" s="2">
        <v>181</v>
      </c>
      <c r="G9" s="1">
        <f t="shared" si="2"/>
        <v>5.5555555555555558E-3</v>
      </c>
      <c r="H9" s="3">
        <v>0.70499998331069946</v>
      </c>
      <c r="I9" s="2">
        <v>184</v>
      </c>
      <c r="J9" s="1">
        <f t="shared" si="3"/>
        <v>2.2222222222222223E-2</v>
      </c>
      <c r="K9" s="3">
        <v>0.89999997615814209</v>
      </c>
      <c r="L9" s="2">
        <v>180</v>
      </c>
      <c r="M9" s="1">
        <f t="shared" si="4"/>
        <v>0</v>
      </c>
      <c r="N9" s="3">
        <v>0.44999998807907104</v>
      </c>
      <c r="O9" s="2">
        <v>180</v>
      </c>
      <c r="P9" s="1">
        <f t="shared" si="5"/>
        <v>0</v>
      </c>
      <c r="Q9" s="3">
        <v>0.49099999666213989</v>
      </c>
      <c r="R9" s="2">
        <v>183</v>
      </c>
      <c r="S9" s="1">
        <f t="shared" si="6"/>
        <v>1.6666666666666666E-2</v>
      </c>
      <c r="T9" s="3">
        <v>0.460999995470047</v>
      </c>
      <c r="U9">
        <v>181</v>
      </c>
      <c r="V9" s="1">
        <f t="shared" si="7"/>
        <v>5.5555555555555558E-3</v>
      </c>
      <c r="W9" s="3">
        <v>0.65299999713897705</v>
      </c>
      <c r="X9" s="2">
        <v>184</v>
      </c>
      <c r="Y9" s="1">
        <f t="shared" si="8"/>
        <v>2.2222222222222223E-2</v>
      </c>
      <c r="Z9" s="3">
        <v>0.32899999618530273</v>
      </c>
      <c r="AA9" s="2">
        <v>180</v>
      </c>
      <c r="AB9" s="1">
        <f t="shared" si="9"/>
        <v>0</v>
      </c>
      <c r="AC9" s="3">
        <v>0.55699998140335083</v>
      </c>
      <c r="AD9" s="2">
        <v>180</v>
      </c>
      <c r="AE9" s="1">
        <f t="shared" si="10"/>
        <v>0</v>
      </c>
      <c r="AF9" s="3">
        <v>0.81099998950958252</v>
      </c>
      <c r="AG9" s="2">
        <v>181</v>
      </c>
      <c r="AH9" s="1">
        <f t="shared" si="11"/>
        <v>5.5555555555555558E-3</v>
      </c>
      <c r="AI9" s="3">
        <v>0.54900002479553223</v>
      </c>
      <c r="AJ9" s="2">
        <v>181</v>
      </c>
      <c r="AK9" s="1">
        <f t="shared" si="12"/>
        <v>5.5555555555555558E-3</v>
      </c>
      <c r="AL9" s="3">
        <v>0.6119999885559082</v>
      </c>
    </row>
    <row r="10" spans="1:38" x14ac:dyDescent="0.35">
      <c r="A10" t="s">
        <v>9</v>
      </c>
      <c r="B10" s="4">
        <f t="shared" si="0"/>
        <v>369</v>
      </c>
      <c r="C10" s="2">
        <v>369</v>
      </c>
      <c r="D10" s="1">
        <f t="shared" si="1"/>
        <v>0</v>
      </c>
      <c r="E10" s="3">
        <v>1.1499999761581421</v>
      </c>
      <c r="F10" s="2">
        <v>371</v>
      </c>
      <c r="G10" s="1">
        <f t="shared" si="2"/>
        <v>5.4200542005420054E-3</v>
      </c>
      <c r="H10" s="3">
        <v>0.93000000715255737</v>
      </c>
      <c r="I10" s="2">
        <v>373</v>
      </c>
      <c r="J10" s="1">
        <f t="shared" si="3"/>
        <v>1.0840108401084011E-2</v>
      </c>
      <c r="K10" s="3">
        <v>1.0789999961853027</v>
      </c>
      <c r="L10" s="2">
        <v>370</v>
      </c>
      <c r="M10" s="1">
        <f t="shared" si="4"/>
        <v>2.7100271002710027E-3</v>
      </c>
      <c r="N10" s="3">
        <v>0.40999999642372131</v>
      </c>
      <c r="O10" s="2">
        <v>371</v>
      </c>
      <c r="P10" s="1">
        <f t="shared" si="5"/>
        <v>5.4200542005420054E-3</v>
      </c>
      <c r="Q10" s="3">
        <v>0.56800001859664917</v>
      </c>
      <c r="R10" s="2">
        <v>371</v>
      </c>
      <c r="S10" s="1">
        <f t="shared" si="6"/>
        <v>5.4200542005420054E-3</v>
      </c>
      <c r="T10" s="3">
        <v>0.47999998927116394</v>
      </c>
      <c r="U10">
        <v>370</v>
      </c>
      <c r="V10" s="1">
        <f t="shared" si="7"/>
        <v>2.7100271002710027E-3</v>
      </c>
      <c r="W10" s="3">
        <v>0.3919999897480011</v>
      </c>
      <c r="X10" s="2">
        <v>376</v>
      </c>
      <c r="Y10" s="1">
        <f t="shared" si="8"/>
        <v>1.8970189701897018E-2</v>
      </c>
      <c r="Z10" s="3">
        <v>0.18400000035762787</v>
      </c>
      <c r="AA10" s="2">
        <v>370</v>
      </c>
      <c r="AB10" s="1">
        <f t="shared" si="9"/>
        <v>2.7100271002710027E-3</v>
      </c>
      <c r="AC10" s="3">
        <v>0.61400002241134644</v>
      </c>
      <c r="AD10" s="2">
        <v>369</v>
      </c>
      <c r="AE10" s="1">
        <f t="shared" si="10"/>
        <v>0</v>
      </c>
      <c r="AF10" s="3">
        <v>0.92599999904632568</v>
      </c>
      <c r="AG10" s="2">
        <v>372</v>
      </c>
      <c r="AH10" s="1">
        <f t="shared" si="11"/>
        <v>8.130081300813009E-3</v>
      </c>
      <c r="AI10" s="3">
        <v>0.34000000357627869</v>
      </c>
      <c r="AJ10" s="2">
        <v>371</v>
      </c>
      <c r="AK10" s="1">
        <f t="shared" si="12"/>
        <v>5.4200542005420054E-3</v>
      </c>
      <c r="AL10" s="3">
        <v>0.30500000715255737</v>
      </c>
    </row>
    <row r="11" spans="1:38" x14ac:dyDescent="0.35">
      <c r="A11" t="s">
        <v>10</v>
      </c>
      <c r="B11" s="4">
        <f t="shared" si="0"/>
        <v>18</v>
      </c>
      <c r="C11" s="2">
        <v>18</v>
      </c>
      <c r="D11" s="1">
        <f t="shared" si="1"/>
        <v>0</v>
      </c>
      <c r="E11" s="3">
        <v>2.8000000864267349E-2</v>
      </c>
      <c r="F11" s="2">
        <v>18</v>
      </c>
      <c r="G11" s="1">
        <f t="shared" si="2"/>
        <v>0</v>
      </c>
      <c r="H11" s="3">
        <v>2.4000000208616257E-2</v>
      </c>
      <c r="I11" s="2">
        <v>18</v>
      </c>
      <c r="J11" s="1">
        <f t="shared" si="3"/>
        <v>0</v>
      </c>
      <c r="K11" s="3">
        <v>5.7999998331069946E-2</v>
      </c>
      <c r="L11" s="2">
        <v>18</v>
      </c>
      <c r="M11" s="1">
        <f t="shared" si="4"/>
        <v>0</v>
      </c>
      <c r="N11" s="3">
        <v>2.9999999329447746E-2</v>
      </c>
      <c r="O11" s="2">
        <v>18</v>
      </c>
      <c r="P11" s="1">
        <f t="shared" si="5"/>
        <v>0</v>
      </c>
      <c r="Q11" s="3">
        <v>2.0999999716877937E-2</v>
      </c>
      <c r="R11" s="2">
        <v>18</v>
      </c>
      <c r="S11" s="1">
        <f t="shared" si="6"/>
        <v>0</v>
      </c>
      <c r="T11" s="3">
        <v>3.5000000149011612E-2</v>
      </c>
      <c r="U11">
        <v>18</v>
      </c>
      <c r="V11" s="1">
        <f t="shared" si="7"/>
        <v>0</v>
      </c>
      <c r="W11" s="3">
        <v>4.1000001132488251E-2</v>
      </c>
      <c r="X11" s="2">
        <v>20</v>
      </c>
      <c r="Y11" s="1">
        <f t="shared" si="8"/>
        <v>0.1111111111111111</v>
      </c>
      <c r="Z11" s="3">
        <v>1.2000000104308128E-2</v>
      </c>
      <c r="AA11" s="2">
        <v>18</v>
      </c>
      <c r="AB11" s="1">
        <f t="shared" si="9"/>
        <v>0</v>
      </c>
      <c r="AC11" s="3">
        <v>2.4000000208616257E-2</v>
      </c>
      <c r="AD11" s="2">
        <v>18</v>
      </c>
      <c r="AE11" s="1">
        <f t="shared" si="10"/>
        <v>0</v>
      </c>
      <c r="AF11" s="3">
        <v>2.8999999165534973E-2</v>
      </c>
      <c r="AG11" s="2">
        <v>18</v>
      </c>
      <c r="AH11" s="1">
        <f t="shared" si="11"/>
        <v>0</v>
      </c>
      <c r="AI11" s="3">
        <v>3.9999999105930328E-2</v>
      </c>
      <c r="AJ11" s="2">
        <v>18</v>
      </c>
      <c r="AK11" s="1">
        <f t="shared" si="12"/>
        <v>0</v>
      </c>
      <c r="AL11" s="3">
        <v>4.1000001132488251E-2</v>
      </c>
    </row>
    <row r="12" spans="1:38" x14ac:dyDescent="0.35">
      <c r="A12" t="s">
        <v>11</v>
      </c>
      <c r="B12" s="4">
        <f t="shared" si="0"/>
        <v>36</v>
      </c>
      <c r="C12" s="2">
        <v>36</v>
      </c>
      <c r="D12" s="1">
        <f t="shared" si="1"/>
        <v>0</v>
      </c>
      <c r="E12" s="3">
        <v>4.5000001788139343E-2</v>
      </c>
      <c r="F12" s="2">
        <v>36</v>
      </c>
      <c r="G12" s="1">
        <f t="shared" si="2"/>
        <v>0</v>
      </c>
      <c r="H12" s="3">
        <v>3.9999999105930328E-2</v>
      </c>
      <c r="I12" s="2">
        <v>36</v>
      </c>
      <c r="J12" s="1">
        <f t="shared" si="3"/>
        <v>0</v>
      </c>
      <c r="K12" s="3">
        <v>3.7999998778104782E-2</v>
      </c>
      <c r="L12" s="2">
        <v>36</v>
      </c>
      <c r="M12" s="1">
        <f t="shared" si="4"/>
        <v>0</v>
      </c>
      <c r="N12" s="3">
        <v>5.4000001400709152E-2</v>
      </c>
      <c r="O12" s="2">
        <v>36</v>
      </c>
      <c r="P12" s="1">
        <f t="shared" si="5"/>
        <v>0</v>
      </c>
      <c r="Q12" s="3">
        <v>4.8999998718500137E-2</v>
      </c>
      <c r="R12" s="2">
        <v>36</v>
      </c>
      <c r="S12" s="1">
        <f t="shared" si="6"/>
        <v>0</v>
      </c>
      <c r="T12" s="3">
        <v>7.5999997556209564E-2</v>
      </c>
      <c r="U12">
        <v>36</v>
      </c>
      <c r="V12" s="1">
        <f t="shared" si="7"/>
        <v>0</v>
      </c>
      <c r="W12" s="3">
        <v>2.9999999329447746E-2</v>
      </c>
      <c r="X12" s="2">
        <v>39</v>
      </c>
      <c r="Y12" s="1">
        <f t="shared" si="8"/>
        <v>8.3333333333333329E-2</v>
      </c>
      <c r="Z12" s="3">
        <v>3.7999998778104782E-2</v>
      </c>
      <c r="AA12" s="2">
        <v>36</v>
      </c>
      <c r="AB12" s="1">
        <f t="shared" si="9"/>
        <v>0</v>
      </c>
      <c r="AC12" s="3">
        <v>4.8999998718500137E-2</v>
      </c>
      <c r="AD12" s="2">
        <v>36</v>
      </c>
      <c r="AE12" s="1">
        <f t="shared" si="10"/>
        <v>0</v>
      </c>
      <c r="AF12" s="3">
        <v>6.5999999642372131E-2</v>
      </c>
      <c r="AG12" s="2">
        <v>36</v>
      </c>
      <c r="AH12" s="1">
        <f t="shared" si="11"/>
        <v>0</v>
      </c>
      <c r="AI12" s="3">
        <v>5.2000001072883606E-2</v>
      </c>
      <c r="AJ12" s="2">
        <v>36</v>
      </c>
      <c r="AK12" s="1">
        <f t="shared" si="12"/>
        <v>0</v>
      </c>
      <c r="AL12" s="3">
        <v>2.8999999165534973E-2</v>
      </c>
    </row>
    <row r="13" spans="1:38" x14ac:dyDescent="0.35">
      <c r="A13" t="s">
        <v>12</v>
      </c>
      <c r="B13" s="4">
        <f t="shared" si="0"/>
        <v>57</v>
      </c>
      <c r="C13" s="2">
        <v>57</v>
      </c>
      <c r="D13" s="1">
        <f t="shared" si="1"/>
        <v>0</v>
      </c>
      <c r="E13" s="3">
        <v>0.12200000137090683</v>
      </c>
      <c r="F13" s="2">
        <v>57</v>
      </c>
      <c r="G13" s="1">
        <f t="shared" si="2"/>
        <v>0</v>
      </c>
      <c r="H13" s="3">
        <v>0.15999999642372131</v>
      </c>
      <c r="I13" s="2">
        <v>57</v>
      </c>
      <c r="J13" s="1">
        <f t="shared" si="3"/>
        <v>0</v>
      </c>
      <c r="K13" s="3">
        <v>0.14499999582767487</v>
      </c>
      <c r="L13" s="2">
        <v>57</v>
      </c>
      <c r="M13" s="1">
        <f t="shared" si="4"/>
        <v>0</v>
      </c>
      <c r="N13" s="3">
        <v>9.3999996781349182E-2</v>
      </c>
      <c r="O13" s="2">
        <v>57</v>
      </c>
      <c r="P13" s="1">
        <f t="shared" si="5"/>
        <v>0</v>
      </c>
      <c r="Q13" s="3">
        <v>0.1120000034570694</v>
      </c>
      <c r="R13" s="2">
        <v>57</v>
      </c>
      <c r="S13" s="1">
        <f t="shared" si="6"/>
        <v>0</v>
      </c>
      <c r="T13" s="3">
        <v>0.14399999380111694</v>
      </c>
      <c r="U13">
        <v>57</v>
      </c>
      <c r="V13" s="1">
        <f t="shared" si="7"/>
        <v>0</v>
      </c>
      <c r="W13" s="3">
        <v>0.1379999965429306</v>
      </c>
      <c r="X13" s="2">
        <v>68</v>
      </c>
      <c r="Y13" s="1">
        <f t="shared" si="8"/>
        <v>0.19298245614035087</v>
      </c>
      <c r="Z13" s="3">
        <v>9.8999999463558197E-2</v>
      </c>
      <c r="AA13" s="2">
        <v>57</v>
      </c>
      <c r="AB13" s="1">
        <f t="shared" si="9"/>
        <v>0</v>
      </c>
      <c r="AC13" s="3">
        <v>0.15199999511241913</v>
      </c>
      <c r="AD13" s="2">
        <v>57</v>
      </c>
      <c r="AE13" s="1">
        <f t="shared" si="10"/>
        <v>0</v>
      </c>
      <c r="AF13" s="3">
        <v>0.14399999380111694</v>
      </c>
      <c r="AG13" s="2">
        <v>57</v>
      </c>
      <c r="AH13" s="1">
        <f t="shared" si="11"/>
        <v>0</v>
      </c>
      <c r="AI13" s="3">
        <v>0.13600000739097595</v>
      </c>
      <c r="AJ13" s="2">
        <v>57</v>
      </c>
      <c r="AK13" s="1">
        <f t="shared" si="12"/>
        <v>0</v>
      </c>
      <c r="AL13" s="3">
        <v>0.11999999731779099</v>
      </c>
    </row>
    <row r="14" spans="1:38" x14ac:dyDescent="0.35">
      <c r="A14" t="s">
        <v>13</v>
      </c>
      <c r="B14" s="4">
        <f t="shared" si="0"/>
        <v>66</v>
      </c>
      <c r="C14" s="2">
        <v>69</v>
      </c>
      <c r="D14" s="1">
        <f t="shared" si="1"/>
        <v>4.5454545454545456E-2</v>
      </c>
      <c r="E14" s="3">
        <v>0.164000004529953</v>
      </c>
      <c r="F14" s="2">
        <v>66</v>
      </c>
      <c r="G14" s="1">
        <f t="shared" si="2"/>
        <v>0</v>
      </c>
      <c r="H14" s="3">
        <v>0.1550000011920929</v>
      </c>
      <c r="I14" s="2">
        <v>69</v>
      </c>
      <c r="J14" s="1">
        <f t="shared" si="3"/>
        <v>4.5454545454545456E-2</v>
      </c>
      <c r="K14" s="3">
        <v>7.2999998927116394E-2</v>
      </c>
      <c r="L14" s="2">
        <v>66</v>
      </c>
      <c r="M14" s="1">
        <f t="shared" si="4"/>
        <v>0</v>
      </c>
      <c r="N14" s="3">
        <v>0.1289999932050705</v>
      </c>
      <c r="O14" s="2">
        <v>66</v>
      </c>
      <c r="P14" s="1">
        <f t="shared" si="5"/>
        <v>0</v>
      </c>
      <c r="Q14" s="3">
        <v>9.7999997437000275E-2</v>
      </c>
      <c r="R14" s="2">
        <v>69</v>
      </c>
      <c r="S14" s="1">
        <f t="shared" si="6"/>
        <v>4.5454545454545456E-2</v>
      </c>
      <c r="T14" s="3">
        <v>0.10400000214576721</v>
      </c>
      <c r="U14">
        <v>69</v>
      </c>
      <c r="V14" s="1">
        <f t="shared" si="7"/>
        <v>4.5454545454545456E-2</v>
      </c>
      <c r="W14" s="3">
        <v>0.10300000011920929</v>
      </c>
      <c r="X14" s="2">
        <v>75</v>
      </c>
      <c r="Y14" s="1">
        <f t="shared" si="8"/>
        <v>0.13636363636363635</v>
      </c>
      <c r="Z14" s="3">
        <v>6.8000003695487976E-2</v>
      </c>
      <c r="AA14" s="2">
        <v>66</v>
      </c>
      <c r="AB14" s="1">
        <f t="shared" si="9"/>
        <v>0</v>
      </c>
      <c r="AC14" s="3">
        <v>0.1679999977350235</v>
      </c>
      <c r="AD14" s="2">
        <v>66</v>
      </c>
      <c r="AE14" s="1">
        <f t="shared" si="10"/>
        <v>0</v>
      </c>
      <c r="AF14" s="3">
        <v>0.125</v>
      </c>
      <c r="AG14" s="2">
        <v>69</v>
      </c>
      <c r="AH14" s="1">
        <f t="shared" si="11"/>
        <v>4.5454545454545456E-2</v>
      </c>
      <c r="AI14" s="3">
        <v>8.1000000238418579E-2</v>
      </c>
      <c r="AJ14" s="2">
        <v>69</v>
      </c>
      <c r="AK14" s="1">
        <f t="shared" si="12"/>
        <v>4.5454545454545456E-2</v>
      </c>
      <c r="AL14" s="3">
        <v>0.10100000351667404</v>
      </c>
    </row>
    <row r="15" spans="1:38" x14ac:dyDescent="0.35">
      <c r="A15" t="s">
        <v>14</v>
      </c>
      <c r="B15" s="4">
        <f t="shared" si="0"/>
        <v>12</v>
      </c>
      <c r="C15" s="2">
        <v>12</v>
      </c>
      <c r="D15" s="1">
        <f t="shared" si="1"/>
        <v>0</v>
      </c>
      <c r="E15" s="3">
        <v>4.0000001899898052E-3</v>
      </c>
      <c r="F15" s="2">
        <v>12</v>
      </c>
      <c r="G15" s="1">
        <f t="shared" si="2"/>
        <v>0</v>
      </c>
      <c r="H15" s="3">
        <v>4.999999888241291E-3</v>
      </c>
      <c r="I15" s="2">
        <v>12</v>
      </c>
      <c r="J15" s="1">
        <f t="shared" si="3"/>
        <v>0</v>
      </c>
      <c r="K15" s="3">
        <v>3.0000000260770321E-3</v>
      </c>
      <c r="L15" s="2">
        <v>12</v>
      </c>
      <c r="M15" s="1">
        <f t="shared" si="4"/>
        <v>0</v>
      </c>
      <c r="N15" s="3">
        <v>4.0000001899898052E-3</v>
      </c>
      <c r="O15" s="2">
        <v>12</v>
      </c>
      <c r="P15" s="1">
        <f t="shared" si="5"/>
        <v>0</v>
      </c>
      <c r="Q15" s="3">
        <v>4.0000001899898052E-3</v>
      </c>
      <c r="R15" s="2">
        <v>12</v>
      </c>
      <c r="S15" s="1">
        <f t="shared" si="6"/>
        <v>0</v>
      </c>
      <c r="T15" s="3">
        <v>1.2000000104308128E-2</v>
      </c>
      <c r="U15">
        <v>12</v>
      </c>
      <c r="V15" s="1">
        <f t="shared" si="7"/>
        <v>0</v>
      </c>
      <c r="W15" s="3">
        <v>4.0000001899898052E-3</v>
      </c>
      <c r="X15" s="2">
        <v>12</v>
      </c>
      <c r="Y15" s="1">
        <f t="shared" si="8"/>
        <v>0</v>
      </c>
      <c r="Z15" s="3">
        <v>4.0000001899898052E-3</v>
      </c>
      <c r="AA15" s="2">
        <v>12</v>
      </c>
      <c r="AB15" s="1">
        <f t="shared" si="9"/>
        <v>0</v>
      </c>
      <c r="AC15" s="3">
        <v>4.999999888241291E-3</v>
      </c>
      <c r="AD15" s="2">
        <v>12</v>
      </c>
      <c r="AE15" s="1">
        <f t="shared" si="10"/>
        <v>0</v>
      </c>
      <c r="AF15" s="3">
        <v>4.999999888241291E-3</v>
      </c>
      <c r="AG15" s="2">
        <v>12</v>
      </c>
      <c r="AH15" s="1">
        <f t="shared" si="11"/>
        <v>0</v>
      </c>
      <c r="AI15" s="3">
        <v>4.999999888241291E-3</v>
      </c>
      <c r="AJ15" s="2">
        <v>12</v>
      </c>
      <c r="AK15" s="1">
        <f t="shared" si="12"/>
        <v>0</v>
      </c>
      <c r="AL15" s="3">
        <v>4.0000001899898052E-3</v>
      </c>
    </row>
    <row r="16" spans="1:38" x14ac:dyDescent="0.35">
      <c r="A16" t="s">
        <v>15</v>
      </c>
      <c r="B16" s="4">
        <f t="shared" si="0"/>
        <v>18</v>
      </c>
      <c r="C16" s="2">
        <v>18</v>
      </c>
      <c r="D16" s="1">
        <f t="shared" si="1"/>
        <v>0</v>
      </c>
      <c r="E16" s="3">
        <v>1.7000000923871994E-2</v>
      </c>
      <c r="F16" s="2">
        <v>18</v>
      </c>
      <c r="G16" s="1">
        <f t="shared" si="2"/>
        <v>0</v>
      </c>
      <c r="H16" s="3">
        <v>1.6000000759959221E-2</v>
      </c>
      <c r="I16" s="2">
        <v>18</v>
      </c>
      <c r="J16" s="1">
        <f t="shared" si="3"/>
        <v>0</v>
      </c>
      <c r="K16" s="3">
        <v>1.3000000268220901E-2</v>
      </c>
      <c r="L16" s="2">
        <v>18</v>
      </c>
      <c r="M16" s="1">
        <f t="shared" si="4"/>
        <v>0</v>
      </c>
      <c r="N16" s="3">
        <v>1.6000000759959221E-2</v>
      </c>
      <c r="O16" s="2">
        <v>18</v>
      </c>
      <c r="P16" s="1">
        <f t="shared" si="5"/>
        <v>0</v>
      </c>
      <c r="Q16" s="3">
        <v>2.3000000044703484E-2</v>
      </c>
      <c r="R16" s="2">
        <v>18</v>
      </c>
      <c r="S16" s="1">
        <f t="shared" si="6"/>
        <v>0</v>
      </c>
      <c r="T16" s="3">
        <v>2.3000000044703484E-2</v>
      </c>
      <c r="U16">
        <v>18</v>
      </c>
      <c r="V16" s="1">
        <f t="shared" si="7"/>
        <v>0</v>
      </c>
      <c r="W16" s="3">
        <v>1.3000000268220901E-2</v>
      </c>
      <c r="X16" s="2">
        <v>18</v>
      </c>
      <c r="Y16" s="1">
        <f t="shared" si="8"/>
        <v>0</v>
      </c>
      <c r="Z16" s="3">
        <v>3.2000001519918442E-2</v>
      </c>
      <c r="AA16" s="2">
        <v>18</v>
      </c>
      <c r="AB16" s="1">
        <f t="shared" si="9"/>
        <v>0</v>
      </c>
      <c r="AC16" s="3">
        <v>1.7999999225139618E-2</v>
      </c>
      <c r="AD16" s="2">
        <v>18</v>
      </c>
      <c r="AE16" s="1">
        <f t="shared" si="10"/>
        <v>0</v>
      </c>
      <c r="AF16" s="3">
        <v>1.7000000923871994E-2</v>
      </c>
      <c r="AG16" s="2">
        <v>18</v>
      </c>
      <c r="AH16" s="1">
        <f t="shared" si="11"/>
        <v>0</v>
      </c>
      <c r="AI16" s="3">
        <v>1.3000000268220901E-2</v>
      </c>
      <c r="AJ16" s="2">
        <v>18</v>
      </c>
      <c r="AK16" s="1">
        <f t="shared" si="12"/>
        <v>0</v>
      </c>
      <c r="AL16" s="3">
        <v>1.2000000104308128E-2</v>
      </c>
    </row>
    <row r="17" spans="1:38" x14ac:dyDescent="0.35">
      <c r="A17" t="s">
        <v>16</v>
      </c>
      <c r="B17" s="4">
        <f t="shared" si="0"/>
        <v>45</v>
      </c>
      <c r="C17" s="2">
        <v>45</v>
      </c>
      <c r="D17" s="1">
        <f t="shared" si="1"/>
        <v>0</v>
      </c>
      <c r="E17" s="3">
        <v>2.9999999329447746E-2</v>
      </c>
      <c r="F17" s="2">
        <v>45</v>
      </c>
      <c r="G17" s="1">
        <f t="shared" si="2"/>
        <v>0</v>
      </c>
      <c r="H17" s="3">
        <v>2.500000037252903E-2</v>
      </c>
      <c r="I17" s="2">
        <v>45</v>
      </c>
      <c r="J17" s="1">
        <f t="shared" si="3"/>
        <v>0</v>
      </c>
      <c r="K17" s="3">
        <v>3.2999999821186066E-2</v>
      </c>
      <c r="L17" s="2">
        <v>45</v>
      </c>
      <c r="M17" s="1">
        <f t="shared" si="4"/>
        <v>0</v>
      </c>
      <c r="N17" s="3">
        <v>1.3000000268220901E-2</v>
      </c>
      <c r="O17" s="2">
        <v>45</v>
      </c>
      <c r="P17" s="1">
        <f t="shared" si="5"/>
        <v>0</v>
      </c>
      <c r="Q17" s="3">
        <v>1.4999999664723873E-2</v>
      </c>
      <c r="R17" s="2">
        <v>46</v>
      </c>
      <c r="S17" s="1">
        <f t="shared" si="6"/>
        <v>2.2222222222222223E-2</v>
      </c>
      <c r="T17" s="3">
        <v>1.7999999225139618E-2</v>
      </c>
      <c r="U17">
        <v>45</v>
      </c>
      <c r="V17" s="1">
        <f t="shared" si="7"/>
        <v>0</v>
      </c>
      <c r="W17" s="3">
        <v>1.4000000432133675E-2</v>
      </c>
      <c r="X17" s="2">
        <v>47</v>
      </c>
      <c r="Y17" s="1">
        <f t="shared" si="8"/>
        <v>4.4444444444444446E-2</v>
      </c>
      <c r="Z17" s="3">
        <v>1.4000000432133675E-2</v>
      </c>
      <c r="AA17" s="2">
        <v>45</v>
      </c>
      <c r="AB17" s="1">
        <f t="shared" si="9"/>
        <v>0</v>
      </c>
      <c r="AC17" s="3">
        <v>2.199999988079071E-2</v>
      </c>
      <c r="AD17" s="2">
        <v>46</v>
      </c>
      <c r="AE17" s="1">
        <f t="shared" si="10"/>
        <v>2.2222222222222223E-2</v>
      </c>
      <c r="AF17" s="3">
        <v>1.7999999225139618E-2</v>
      </c>
      <c r="AG17" s="2">
        <v>45</v>
      </c>
      <c r="AH17" s="1">
        <f t="shared" si="11"/>
        <v>0</v>
      </c>
      <c r="AI17" s="3">
        <v>2.199999988079071E-2</v>
      </c>
      <c r="AJ17" s="2">
        <v>45</v>
      </c>
      <c r="AK17" s="1">
        <f t="shared" si="12"/>
        <v>0</v>
      </c>
      <c r="AL17" s="3">
        <v>2.4000000208616257E-2</v>
      </c>
    </row>
    <row r="18" spans="1:38" x14ac:dyDescent="0.35">
      <c r="A18" t="s">
        <v>17</v>
      </c>
      <c r="B18" s="4">
        <f t="shared" si="0"/>
        <v>23</v>
      </c>
      <c r="C18" s="2">
        <v>23</v>
      </c>
      <c r="D18" s="1">
        <f t="shared" si="1"/>
        <v>0</v>
      </c>
      <c r="E18" s="3">
        <v>4.8999998718500137E-2</v>
      </c>
      <c r="F18" s="2">
        <v>23</v>
      </c>
      <c r="G18" s="1">
        <f t="shared" si="2"/>
        <v>0</v>
      </c>
      <c r="H18" s="3">
        <v>3.5999998450279236E-2</v>
      </c>
      <c r="I18" s="2">
        <v>23</v>
      </c>
      <c r="J18" s="1">
        <f t="shared" si="3"/>
        <v>0</v>
      </c>
      <c r="K18" s="3">
        <v>4.5000001788139343E-2</v>
      </c>
      <c r="L18" s="2">
        <v>23</v>
      </c>
      <c r="M18" s="1">
        <f t="shared" si="4"/>
        <v>0</v>
      </c>
      <c r="N18" s="3">
        <v>2.8000000864267349E-2</v>
      </c>
      <c r="O18" s="2">
        <v>23</v>
      </c>
      <c r="P18" s="1">
        <f t="shared" si="5"/>
        <v>0</v>
      </c>
      <c r="Q18" s="3">
        <v>2.9999999329447746E-2</v>
      </c>
      <c r="R18" s="2">
        <v>23</v>
      </c>
      <c r="S18" s="1">
        <f t="shared" si="6"/>
        <v>0</v>
      </c>
      <c r="T18" s="3">
        <v>3.7000000476837158E-2</v>
      </c>
      <c r="U18">
        <v>23</v>
      </c>
      <c r="V18" s="1">
        <f t="shared" si="7"/>
        <v>0</v>
      </c>
      <c r="W18" s="3">
        <v>2.9999999329447746E-2</v>
      </c>
      <c r="X18" s="2">
        <v>23</v>
      </c>
      <c r="Y18" s="1">
        <f t="shared" si="8"/>
        <v>0</v>
      </c>
      <c r="Z18" s="3">
        <v>4.3000001460313797E-2</v>
      </c>
      <c r="AA18" s="2">
        <v>23</v>
      </c>
      <c r="AB18" s="1">
        <f t="shared" si="9"/>
        <v>0</v>
      </c>
      <c r="AC18" s="3">
        <v>4.8999998718500137E-2</v>
      </c>
      <c r="AD18" s="2">
        <v>23</v>
      </c>
      <c r="AE18" s="1">
        <f t="shared" si="10"/>
        <v>0</v>
      </c>
      <c r="AF18" s="3">
        <v>4.6999998390674591E-2</v>
      </c>
      <c r="AG18" s="2">
        <v>23</v>
      </c>
      <c r="AH18" s="1">
        <f t="shared" si="11"/>
        <v>0</v>
      </c>
      <c r="AI18" s="3">
        <v>4.6999998390674591E-2</v>
      </c>
      <c r="AJ18" s="2">
        <v>23</v>
      </c>
      <c r="AK18" s="1">
        <f t="shared" si="12"/>
        <v>0</v>
      </c>
      <c r="AL18" s="3">
        <v>3.7000000476837158E-2</v>
      </c>
    </row>
    <row r="19" spans="1:38" x14ac:dyDescent="0.35">
      <c r="A19" t="s">
        <v>18</v>
      </c>
      <c r="B19" s="4">
        <f t="shared" si="0"/>
        <v>78</v>
      </c>
      <c r="C19" s="2">
        <v>78</v>
      </c>
      <c r="D19" s="1">
        <f t="shared" si="1"/>
        <v>0</v>
      </c>
      <c r="E19" s="3">
        <v>0.14900000393390656</v>
      </c>
      <c r="F19" s="2">
        <v>78</v>
      </c>
      <c r="G19" s="1">
        <f t="shared" si="2"/>
        <v>0</v>
      </c>
      <c r="H19" s="3">
        <v>9.8999999463558197E-2</v>
      </c>
      <c r="I19" s="2">
        <v>83</v>
      </c>
      <c r="J19" s="1">
        <f t="shared" si="3"/>
        <v>6.4102564102564097E-2</v>
      </c>
      <c r="K19" s="3">
        <v>0.17100000381469727</v>
      </c>
      <c r="L19" s="2">
        <v>78</v>
      </c>
      <c r="M19" s="1">
        <f t="shared" si="4"/>
        <v>0</v>
      </c>
      <c r="N19" s="3">
        <v>0.125</v>
      </c>
      <c r="O19" s="2">
        <v>78</v>
      </c>
      <c r="P19" s="1">
        <f t="shared" si="5"/>
        <v>0</v>
      </c>
      <c r="Q19" s="3">
        <v>0.12800000607967377</v>
      </c>
      <c r="R19" s="2">
        <v>78</v>
      </c>
      <c r="S19" s="1">
        <f t="shared" si="6"/>
        <v>0</v>
      </c>
      <c r="T19" s="3">
        <v>0.19799999892711639</v>
      </c>
      <c r="U19">
        <v>80</v>
      </c>
      <c r="V19" s="1">
        <f t="shared" si="7"/>
        <v>2.564102564102564E-2</v>
      </c>
      <c r="W19" s="3">
        <v>0.11299999803304672</v>
      </c>
      <c r="X19" s="2">
        <v>83</v>
      </c>
      <c r="Y19" s="1">
        <f t="shared" si="8"/>
        <v>6.4102564102564097E-2</v>
      </c>
      <c r="Z19" s="3">
        <v>7.1999996900558472E-2</v>
      </c>
      <c r="AA19" s="2">
        <v>78</v>
      </c>
      <c r="AB19" s="1">
        <f t="shared" si="9"/>
        <v>0</v>
      </c>
      <c r="AC19" s="3">
        <v>0.1809999942779541</v>
      </c>
      <c r="AD19" s="2">
        <v>78</v>
      </c>
      <c r="AE19" s="1">
        <f t="shared" si="10"/>
        <v>0</v>
      </c>
      <c r="AF19" s="3">
        <v>0.29399999976158142</v>
      </c>
      <c r="AG19" s="2">
        <v>78</v>
      </c>
      <c r="AH19" s="1">
        <f t="shared" si="11"/>
        <v>0</v>
      </c>
      <c r="AI19" s="3">
        <v>0.15000000596046448</v>
      </c>
      <c r="AJ19" s="2">
        <v>80</v>
      </c>
      <c r="AK19" s="1">
        <f t="shared" si="12"/>
        <v>2.564102564102564E-2</v>
      </c>
      <c r="AL19" s="3">
        <v>0.12300000339746475</v>
      </c>
    </row>
    <row r="20" spans="1:38" x14ac:dyDescent="0.35">
      <c r="A20" t="s">
        <v>19</v>
      </c>
      <c r="B20" s="4">
        <f t="shared" si="0"/>
        <v>86</v>
      </c>
      <c r="C20" s="2">
        <v>87</v>
      </c>
      <c r="D20" s="1">
        <f t="shared" si="1"/>
        <v>1.1627906976744186E-2</v>
      </c>
      <c r="E20" s="3">
        <v>0.36800000071525574</v>
      </c>
      <c r="F20" s="2">
        <v>86</v>
      </c>
      <c r="G20" s="1">
        <f t="shared" si="2"/>
        <v>0</v>
      </c>
      <c r="H20" s="3">
        <v>0.58899998664855957</v>
      </c>
      <c r="I20" s="2">
        <v>87</v>
      </c>
      <c r="J20" s="1">
        <f t="shared" si="3"/>
        <v>1.1627906976744186E-2</v>
      </c>
      <c r="K20" s="3">
        <v>1.0089999437332153</v>
      </c>
      <c r="L20" s="2">
        <v>86</v>
      </c>
      <c r="M20" s="1">
        <f t="shared" si="4"/>
        <v>0</v>
      </c>
      <c r="N20" s="3">
        <v>0.28499999642372131</v>
      </c>
      <c r="O20" s="2">
        <v>87</v>
      </c>
      <c r="P20" s="1">
        <f t="shared" si="5"/>
        <v>1.1627906976744186E-2</v>
      </c>
      <c r="Q20" s="3">
        <v>0.25200000405311584</v>
      </c>
      <c r="R20" s="2">
        <v>87</v>
      </c>
      <c r="S20" s="1">
        <f t="shared" si="6"/>
        <v>1.1627906976744186E-2</v>
      </c>
      <c r="T20" s="3">
        <v>0.5220000147819519</v>
      </c>
      <c r="U20">
        <v>89</v>
      </c>
      <c r="V20" s="1">
        <f t="shared" si="7"/>
        <v>3.4883720930232558E-2</v>
      </c>
      <c r="W20" s="3">
        <v>0.27799999713897705</v>
      </c>
      <c r="X20" s="2">
        <v>95</v>
      </c>
      <c r="Y20" s="1">
        <f t="shared" si="8"/>
        <v>0.10465116279069768</v>
      </c>
      <c r="Z20" s="3">
        <v>0.14200000464916229</v>
      </c>
      <c r="AA20" s="2">
        <v>87</v>
      </c>
      <c r="AB20" s="1">
        <f t="shared" si="9"/>
        <v>1.1627906976744186E-2</v>
      </c>
      <c r="AC20" s="3">
        <v>0.59600001573562622</v>
      </c>
      <c r="AD20" s="2">
        <v>87</v>
      </c>
      <c r="AE20" s="1">
        <f t="shared" si="10"/>
        <v>1.1627906976744186E-2</v>
      </c>
      <c r="AF20" s="3">
        <v>0.69599997997283936</v>
      </c>
      <c r="AG20" s="2">
        <v>86</v>
      </c>
      <c r="AH20" s="1">
        <f t="shared" si="11"/>
        <v>0</v>
      </c>
      <c r="AI20" s="3">
        <v>0.41499999165534973</v>
      </c>
      <c r="AJ20" s="2">
        <v>88</v>
      </c>
      <c r="AK20" s="1">
        <f t="shared" si="12"/>
        <v>2.3255813953488372E-2</v>
      </c>
      <c r="AL20" s="3">
        <v>0.5220000147819519</v>
      </c>
    </row>
    <row r="21" spans="1:38" x14ac:dyDescent="0.35">
      <c r="A21" t="s">
        <v>20</v>
      </c>
      <c r="B21" s="4">
        <f t="shared" si="0"/>
        <v>91</v>
      </c>
      <c r="C21" s="2">
        <v>91</v>
      </c>
      <c r="D21" s="1">
        <f t="shared" si="1"/>
        <v>0</v>
      </c>
      <c r="E21" s="3">
        <v>0.32400000095367432</v>
      </c>
      <c r="F21" s="2">
        <v>92</v>
      </c>
      <c r="G21" s="1">
        <f t="shared" si="2"/>
        <v>1.098901098901099E-2</v>
      </c>
      <c r="H21" s="3">
        <v>0.22200000286102295</v>
      </c>
      <c r="I21" s="2">
        <v>94</v>
      </c>
      <c r="J21" s="1">
        <f t="shared" si="3"/>
        <v>3.2967032967032968E-2</v>
      </c>
      <c r="K21" s="3">
        <v>0.24400000274181366</v>
      </c>
      <c r="L21" s="2">
        <v>91</v>
      </c>
      <c r="M21" s="1">
        <f t="shared" si="4"/>
        <v>0</v>
      </c>
      <c r="N21" s="3">
        <v>0.14900000393390656</v>
      </c>
      <c r="O21" s="2">
        <v>91</v>
      </c>
      <c r="P21" s="1">
        <f t="shared" si="5"/>
        <v>0</v>
      </c>
      <c r="Q21" s="3">
        <v>0.36599999666213989</v>
      </c>
      <c r="R21" s="2">
        <v>91</v>
      </c>
      <c r="S21" s="1">
        <f t="shared" si="6"/>
        <v>0</v>
      </c>
      <c r="T21" s="3">
        <v>0.22300000488758087</v>
      </c>
      <c r="U21">
        <v>91</v>
      </c>
      <c r="V21" s="1">
        <f t="shared" si="7"/>
        <v>0</v>
      </c>
      <c r="W21" s="3">
        <v>0.35899999737739563</v>
      </c>
      <c r="X21" s="2">
        <v>100</v>
      </c>
      <c r="Y21" s="1">
        <f t="shared" si="8"/>
        <v>9.8901098901098897E-2</v>
      </c>
      <c r="Z21" s="3">
        <v>0.13099999725818634</v>
      </c>
      <c r="AA21" s="2">
        <v>91</v>
      </c>
      <c r="AB21" s="1">
        <f t="shared" si="9"/>
        <v>0</v>
      </c>
      <c r="AC21" s="3">
        <v>0.32699999213218689</v>
      </c>
      <c r="AD21" s="2">
        <v>91</v>
      </c>
      <c r="AE21" s="1">
        <f t="shared" si="10"/>
        <v>0</v>
      </c>
      <c r="AF21" s="3">
        <v>0.46500000357627869</v>
      </c>
      <c r="AG21" s="2">
        <v>91</v>
      </c>
      <c r="AH21" s="1">
        <f t="shared" si="11"/>
        <v>0</v>
      </c>
      <c r="AI21" s="3">
        <v>0.17299999296665192</v>
      </c>
      <c r="AJ21" s="2">
        <v>91</v>
      </c>
      <c r="AK21" s="1">
        <f t="shared" si="12"/>
        <v>0</v>
      </c>
      <c r="AL21" s="3">
        <v>0.23800000548362732</v>
      </c>
    </row>
    <row r="22" spans="1:38" x14ac:dyDescent="0.35">
      <c r="A22" t="s">
        <v>21</v>
      </c>
      <c r="B22" s="4">
        <f t="shared" si="0"/>
        <v>157</v>
      </c>
      <c r="C22" s="2">
        <v>159</v>
      </c>
      <c r="D22" s="1">
        <f t="shared" si="1"/>
        <v>1.2738853503184714E-2</v>
      </c>
      <c r="E22" s="3">
        <v>0.50499999523162842</v>
      </c>
      <c r="F22" s="2">
        <v>158</v>
      </c>
      <c r="G22" s="1">
        <f t="shared" si="2"/>
        <v>6.369426751592357E-3</v>
      </c>
      <c r="H22" s="3">
        <v>0.53299999237060547</v>
      </c>
      <c r="I22" s="2">
        <v>165</v>
      </c>
      <c r="J22" s="1">
        <f t="shared" si="3"/>
        <v>5.0955414012738856E-2</v>
      </c>
      <c r="K22" s="3">
        <v>0.37700000405311584</v>
      </c>
      <c r="L22" s="2">
        <v>158</v>
      </c>
      <c r="M22" s="1">
        <f t="shared" si="4"/>
        <v>6.369426751592357E-3</v>
      </c>
      <c r="N22" s="3">
        <v>0.40900000929832458</v>
      </c>
      <c r="O22" s="2">
        <v>160</v>
      </c>
      <c r="P22" s="1">
        <f t="shared" si="5"/>
        <v>1.9108280254777069E-2</v>
      </c>
      <c r="Q22" s="3">
        <v>0.29300001263618469</v>
      </c>
      <c r="R22" s="2">
        <v>160</v>
      </c>
      <c r="S22" s="1">
        <f t="shared" si="6"/>
        <v>1.9108280254777069E-2</v>
      </c>
      <c r="T22" s="3">
        <v>0.38699999451637268</v>
      </c>
      <c r="U22">
        <v>161</v>
      </c>
      <c r="V22" s="1">
        <f t="shared" si="7"/>
        <v>2.5477707006369428E-2</v>
      </c>
      <c r="W22" s="3">
        <v>0.5899999737739563</v>
      </c>
      <c r="X22" s="2">
        <v>164</v>
      </c>
      <c r="Y22" s="1">
        <f t="shared" si="8"/>
        <v>4.4585987261146494E-2</v>
      </c>
      <c r="Z22" s="3">
        <v>0.28400000929832458</v>
      </c>
      <c r="AA22" s="2">
        <v>158</v>
      </c>
      <c r="AB22" s="1">
        <f t="shared" si="9"/>
        <v>6.369426751592357E-3</v>
      </c>
      <c r="AC22" s="3">
        <v>0.9100000262260437</v>
      </c>
      <c r="AD22" s="2">
        <v>157</v>
      </c>
      <c r="AE22" s="1">
        <f t="shared" si="10"/>
        <v>0</v>
      </c>
      <c r="AF22" s="3">
        <v>1.621999979019165</v>
      </c>
      <c r="AG22" s="2">
        <v>162</v>
      </c>
      <c r="AH22" s="1">
        <f t="shared" si="11"/>
        <v>3.1847133757961783E-2</v>
      </c>
      <c r="AI22" s="3">
        <v>0.289000004529953</v>
      </c>
      <c r="AJ22" s="2">
        <v>161</v>
      </c>
      <c r="AK22" s="1">
        <f t="shared" si="12"/>
        <v>2.5477707006369428E-2</v>
      </c>
      <c r="AL22" s="3">
        <v>0.36000001430511475</v>
      </c>
    </row>
    <row r="23" spans="1:38" x14ac:dyDescent="0.35">
      <c r="A23" t="s">
        <v>22</v>
      </c>
      <c r="B23" s="4">
        <f t="shared" si="0"/>
        <v>43</v>
      </c>
      <c r="C23" s="2">
        <v>43</v>
      </c>
      <c r="D23" s="1">
        <f t="shared" si="1"/>
        <v>0</v>
      </c>
      <c r="E23" s="3">
        <v>8.0000003799796104E-3</v>
      </c>
      <c r="F23" s="2">
        <v>43</v>
      </c>
      <c r="G23" s="1">
        <f t="shared" si="2"/>
        <v>0</v>
      </c>
      <c r="H23" s="3">
        <v>1.6000000759959221E-2</v>
      </c>
      <c r="I23" s="2">
        <v>43</v>
      </c>
      <c r="J23" s="1">
        <f t="shared" si="3"/>
        <v>0</v>
      </c>
      <c r="K23" s="3">
        <v>1.2000000104308128E-2</v>
      </c>
      <c r="L23" s="2">
        <v>43</v>
      </c>
      <c r="M23" s="1">
        <f t="shared" si="4"/>
        <v>0</v>
      </c>
      <c r="N23" s="3">
        <v>8.0000003799796104E-3</v>
      </c>
      <c r="O23" s="2">
        <v>46</v>
      </c>
      <c r="P23" s="1">
        <f t="shared" si="5"/>
        <v>6.9767441860465115E-2</v>
      </c>
      <c r="Q23" s="3">
        <v>6.0000000521540642E-3</v>
      </c>
      <c r="R23" s="2">
        <v>44</v>
      </c>
      <c r="S23" s="1">
        <f t="shared" si="6"/>
        <v>2.3255813953488372E-2</v>
      </c>
      <c r="T23" s="3">
        <v>8.0000003799796104E-3</v>
      </c>
      <c r="U23">
        <v>43</v>
      </c>
      <c r="V23" s="1">
        <f t="shared" si="7"/>
        <v>0</v>
      </c>
      <c r="W23" s="3">
        <v>1.6000000759959221E-2</v>
      </c>
      <c r="X23" s="2">
        <v>48</v>
      </c>
      <c r="Y23" s="1">
        <f t="shared" si="8"/>
        <v>0.11627906976744186</v>
      </c>
      <c r="Z23" s="3">
        <v>4.0000001899898052E-3</v>
      </c>
      <c r="AA23" s="2">
        <v>43</v>
      </c>
      <c r="AB23" s="1">
        <f t="shared" si="9"/>
        <v>0</v>
      </c>
      <c r="AC23" s="3">
        <v>9.9999997764825821E-3</v>
      </c>
      <c r="AD23" s="2">
        <v>43</v>
      </c>
      <c r="AE23" s="1">
        <f t="shared" si="10"/>
        <v>0</v>
      </c>
      <c r="AF23" s="3">
        <v>1.9999999552965164E-2</v>
      </c>
      <c r="AG23" s="2">
        <v>43</v>
      </c>
      <c r="AH23" s="1">
        <f t="shared" si="11"/>
        <v>0</v>
      </c>
      <c r="AI23" s="3">
        <v>9.9999997764825821E-3</v>
      </c>
      <c r="AJ23" s="2">
        <v>43</v>
      </c>
      <c r="AK23" s="1">
        <f t="shared" si="12"/>
        <v>0</v>
      </c>
      <c r="AL23" s="3">
        <v>9.9999997764825821E-3</v>
      </c>
    </row>
    <row r="24" spans="1:38" x14ac:dyDescent="0.35">
      <c r="A24" t="s">
        <v>23</v>
      </c>
      <c r="B24" s="4">
        <f t="shared" si="0"/>
        <v>39</v>
      </c>
      <c r="C24" s="2">
        <v>39</v>
      </c>
      <c r="D24" s="1">
        <f t="shared" si="1"/>
        <v>0</v>
      </c>
      <c r="E24" s="3">
        <v>2.199999988079071E-2</v>
      </c>
      <c r="F24" s="2">
        <v>41</v>
      </c>
      <c r="G24" s="1">
        <f t="shared" si="2"/>
        <v>5.128205128205128E-2</v>
      </c>
      <c r="H24" s="3">
        <v>1.3000000268220901E-2</v>
      </c>
      <c r="I24" s="2">
        <v>39</v>
      </c>
      <c r="J24" s="1">
        <f t="shared" si="3"/>
        <v>0</v>
      </c>
      <c r="K24" s="3">
        <v>1.8999999389052391E-2</v>
      </c>
      <c r="L24" s="2">
        <v>39</v>
      </c>
      <c r="M24" s="1">
        <f t="shared" si="4"/>
        <v>0</v>
      </c>
      <c r="N24" s="3">
        <v>8.999999612569809E-3</v>
      </c>
      <c r="O24" s="2">
        <v>39</v>
      </c>
      <c r="P24" s="1">
        <f t="shared" si="5"/>
        <v>0</v>
      </c>
      <c r="Q24" s="3">
        <v>1.2000000104308128E-2</v>
      </c>
      <c r="R24" s="2">
        <v>39</v>
      </c>
      <c r="S24" s="1">
        <f t="shared" si="6"/>
        <v>0</v>
      </c>
      <c r="T24" s="3">
        <v>1.2000000104308128E-2</v>
      </c>
      <c r="U24">
        <v>43</v>
      </c>
      <c r="V24" s="1">
        <f t="shared" si="7"/>
        <v>0.10256410256410256</v>
      </c>
      <c r="W24" s="3">
        <v>7.0000002160668373E-3</v>
      </c>
      <c r="X24" s="2">
        <v>43</v>
      </c>
      <c r="Y24" s="1">
        <f t="shared" si="8"/>
        <v>0.10256410256410256</v>
      </c>
      <c r="Z24" s="3">
        <v>4.0000001899898052E-3</v>
      </c>
      <c r="AA24" s="2">
        <v>39</v>
      </c>
      <c r="AB24" s="1">
        <f t="shared" si="9"/>
        <v>0</v>
      </c>
      <c r="AC24" s="3">
        <v>1.8999999389052391E-2</v>
      </c>
      <c r="AD24" s="2">
        <v>41</v>
      </c>
      <c r="AE24" s="1">
        <f t="shared" si="10"/>
        <v>5.128205128205128E-2</v>
      </c>
      <c r="AF24" s="3">
        <v>2.0999999716877937E-2</v>
      </c>
      <c r="AG24" s="2">
        <v>41</v>
      </c>
      <c r="AH24" s="1">
        <f t="shared" si="11"/>
        <v>5.128205128205128E-2</v>
      </c>
      <c r="AI24" s="3">
        <v>9.9999997764825821E-3</v>
      </c>
      <c r="AJ24" s="2">
        <v>43</v>
      </c>
      <c r="AK24" s="1">
        <f t="shared" si="12"/>
        <v>0.10256410256410256</v>
      </c>
      <c r="AL24" s="3">
        <v>7.0000002160668373E-3</v>
      </c>
    </row>
    <row r="25" spans="1:38" x14ac:dyDescent="0.35">
      <c r="A25" t="s">
        <v>24</v>
      </c>
      <c r="B25" s="4">
        <f t="shared" si="0"/>
        <v>70</v>
      </c>
      <c r="C25" s="2">
        <v>70</v>
      </c>
      <c r="D25" s="1">
        <f t="shared" si="1"/>
        <v>0</v>
      </c>
      <c r="E25" s="3">
        <v>1.4999999664723873E-2</v>
      </c>
      <c r="F25" s="2">
        <v>70</v>
      </c>
      <c r="G25" s="1">
        <f t="shared" si="2"/>
        <v>0</v>
      </c>
      <c r="H25" s="3">
        <v>7.0000002160668373E-3</v>
      </c>
      <c r="I25" s="2">
        <v>70</v>
      </c>
      <c r="J25" s="1">
        <f t="shared" si="3"/>
        <v>0</v>
      </c>
      <c r="K25" s="3">
        <v>9.9999997764825821E-3</v>
      </c>
      <c r="L25" s="2">
        <v>70</v>
      </c>
      <c r="M25" s="1">
        <f t="shared" si="4"/>
        <v>0</v>
      </c>
      <c r="N25" s="3">
        <v>8.0000003799796104E-3</v>
      </c>
      <c r="O25" s="2">
        <v>70</v>
      </c>
      <c r="P25" s="1">
        <f t="shared" si="5"/>
        <v>0</v>
      </c>
      <c r="Q25" s="3">
        <v>4.999999888241291E-3</v>
      </c>
      <c r="R25" s="2">
        <v>70</v>
      </c>
      <c r="S25" s="1">
        <f t="shared" si="6"/>
        <v>0</v>
      </c>
      <c r="T25" s="3">
        <v>6.0000000521540642E-3</v>
      </c>
      <c r="U25">
        <v>70</v>
      </c>
      <c r="V25" s="1">
        <f t="shared" si="7"/>
        <v>0</v>
      </c>
      <c r="W25" s="3">
        <v>6.0000000521540642E-3</v>
      </c>
      <c r="X25" s="2">
        <v>70</v>
      </c>
      <c r="Y25" s="1">
        <f t="shared" si="8"/>
        <v>0</v>
      </c>
      <c r="Z25" s="3">
        <v>3.0000000260770321E-3</v>
      </c>
      <c r="AA25" s="2">
        <v>70</v>
      </c>
      <c r="AB25" s="1">
        <f t="shared" si="9"/>
        <v>0</v>
      </c>
      <c r="AC25" s="3">
        <v>6.0000000521540642E-3</v>
      </c>
      <c r="AD25" s="2">
        <v>70</v>
      </c>
      <c r="AE25" s="1">
        <f t="shared" si="10"/>
        <v>0</v>
      </c>
      <c r="AF25" s="3">
        <v>8.999999612569809E-3</v>
      </c>
      <c r="AG25" s="2">
        <v>70</v>
      </c>
      <c r="AH25" s="1">
        <f t="shared" si="11"/>
        <v>0</v>
      </c>
      <c r="AI25" s="3">
        <v>4.0000001899898052E-3</v>
      </c>
      <c r="AJ25" s="2">
        <v>70</v>
      </c>
      <c r="AK25" s="1">
        <f t="shared" si="12"/>
        <v>0</v>
      </c>
      <c r="AL25" s="3">
        <v>4.0000001899898052E-3</v>
      </c>
    </row>
    <row r="26" spans="1:38" x14ac:dyDescent="0.35">
      <c r="A26" t="s">
        <v>25</v>
      </c>
      <c r="B26" s="4">
        <f t="shared" si="0"/>
        <v>45</v>
      </c>
      <c r="C26" s="2">
        <v>45</v>
      </c>
      <c r="D26" s="1">
        <f t="shared" si="1"/>
        <v>0</v>
      </c>
      <c r="E26" s="3">
        <v>5.000000074505806E-2</v>
      </c>
      <c r="F26" s="2">
        <v>45</v>
      </c>
      <c r="G26" s="1">
        <f t="shared" si="2"/>
        <v>0</v>
      </c>
      <c r="H26" s="3">
        <v>3.5000000149011612E-2</v>
      </c>
      <c r="I26" s="2">
        <v>46</v>
      </c>
      <c r="J26" s="1">
        <f t="shared" si="3"/>
        <v>2.2222222222222223E-2</v>
      </c>
      <c r="K26" s="3">
        <v>4.8999998718500137E-2</v>
      </c>
      <c r="L26" s="2">
        <v>45</v>
      </c>
      <c r="M26" s="1">
        <f t="shared" si="4"/>
        <v>0</v>
      </c>
      <c r="N26" s="3">
        <v>3.0999999493360519E-2</v>
      </c>
      <c r="O26" s="2">
        <v>45</v>
      </c>
      <c r="P26" s="1">
        <f t="shared" si="5"/>
        <v>0</v>
      </c>
      <c r="Q26" s="3">
        <v>3.5000000149011612E-2</v>
      </c>
      <c r="R26" s="2">
        <v>45</v>
      </c>
      <c r="S26" s="1">
        <f t="shared" si="6"/>
        <v>0</v>
      </c>
      <c r="T26" s="3">
        <v>3.0999999493360519E-2</v>
      </c>
      <c r="U26">
        <v>45</v>
      </c>
      <c r="V26" s="1">
        <f t="shared" si="7"/>
        <v>0</v>
      </c>
      <c r="W26" s="3">
        <v>4.3000001460313797E-2</v>
      </c>
      <c r="X26" s="2">
        <v>45</v>
      </c>
      <c r="Y26" s="1">
        <f t="shared" si="8"/>
        <v>0</v>
      </c>
      <c r="Z26" s="3">
        <v>3.7999998778104782E-2</v>
      </c>
      <c r="AA26" s="2">
        <v>45</v>
      </c>
      <c r="AB26" s="1">
        <f t="shared" si="9"/>
        <v>0</v>
      </c>
      <c r="AC26" s="3">
        <v>3.9000000804662704E-2</v>
      </c>
      <c r="AD26" s="2">
        <v>45</v>
      </c>
      <c r="AE26" s="1">
        <f t="shared" si="10"/>
        <v>0</v>
      </c>
      <c r="AF26" s="3">
        <v>4.6999998390674591E-2</v>
      </c>
      <c r="AG26" s="2">
        <v>45</v>
      </c>
      <c r="AH26" s="1">
        <f t="shared" si="11"/>
        <v>0</v>
      </c>
      <c r="AI26" s="3">
        <v>2.3000000044703484E-2</v>
      </c>
      <c r="AJ26" s="2">
        <v>45</v>
      </c>
      <c r="AK26" s="1">
        <f t="shared" si="12"/>
        <v>0</v>
      </c>
      <c r="AL26" s="3">
        <v>2.4000000208616257E-2</v>
      </c>
    </row>
    <row r="27" spans="1:38" x14ac:dyDescent="0.35">
      <c r="A27" t="s">
        <v>26</v>
      </c>
      <c r="B27" s="4">
        <f t="shared" si="0"/>
        <v>84</v>
      </c>
      <c r="C27" s="2">
        <v>84</v>
      </c>
      <c r="D27" s="1">
        <f t="shared" si="1"/>
        <v>0</v>
      </c>
      <c r="E27" s="3">
        <v>0.11400000005960464</v>
      </c>
      <c r="F27" s="2">
        <v>84</v>
      </c>
      <c r="G27" s="1">
        <f t="shared" si="2"/>
        <v>0</v>
      </c>
      <c r="H27" s="3">
        <v>0.13500000536441803</v>
      </c>
      <c r="I27" s="2">
        <v>84</v>
      </c>
      <c r="J27" s="1">
        <f t="shared" si="3"/>
        <v>0</v>
      </c>
      <c r="K27" s="3">
        <v>6.4999997615814209E-2</v>
      </c>
      <c r="L27" s="2">
        <v>84</v>
      </c>
      <c r="M27" s="1">
        <f t="shared" si="4"/>
        <v>0</v>
      </c>
      <c r="N27" s="3">
        <v>7.1999996900558472E-2</v>
      </c>
      <c r="O27" s="2">
        <v>84</v>
      </c>
      <c r="P27" s="1">
        <f t="shared" si="5"/>
        <v>0</v>
      </c>
      <c r="Q27" s="3">
        <v>6.1999998986721039E-2</v>
      </c>
      <c r="R27" s="2">
        <v>84</v>
      </c>
      <c r="S27" s="1">
        <f t="shared" si="6"/>
        <v>0</v>
      </c>
      <c r="T27" s="3">
        <v>8.7999999523162842E-2</v>
      </c>
      <c r="U27">
        <v>84</v>
      </c>
      <c r="V27" s="1">
        <f t="shared" si="7"/>
        <v>0</v>
      </c>
      <c r="W27" s="3">
        <v>9.7000002861022949E-2</v>
      </c>
      <c r="X27" s="2">
        <v>87</v>
      </c>
      <c r="Y27" s="1">
        <f t="shared" si="8"/>
        <v>3.5714285714285712E-2</v>
      </c>
      <c r="Z27" s="3">
        <v>7.5000002980232239E-2</v>
      </c>
      <c r="AA27" s="2">
        <v>84</v>
      </c>
      <c r="AB27" s="1">
        <f t="shared" si="9"/>
        <v>0</v>
      </c>
      <c r="AC27" s="3">
        <v>0.16599999368190765</v>
      </c>
      <c r="AD27" s="2">
        <v>84</v>
      </c>
      <c r="AE27" s="1">
        <f t="shared" si="10"/>
        <v>0</v>
      </c>
      <c r="AF27" s="3">
        <v>0.22900000214576721</v>
      </c>
      <c r="AG27" s="2">
        <v>84</v>
      </c>
      <c r="AH27" s="1">
        <f t="shared" si="11"/>
        <v>0</v>
      </c>
      <c r="AI27" s="3">
        <v>6.3000001013278961E-2</v>
      </c>
      <c r="AJ27" s="2">
        <v>84</v>
      </c>
      <c r="AK27" s="1">
        <f t="shared" si="12"/>
        <v>0</v>
      </c>
      <c r="AL27" s="3">
        <v>6.8000003695487976E-2</v>
      </c>
    </row>
    <row r="28" spans="1:38" x14ac:dyDescent="0.35">
      <c r="A28" t="s">
        <v>27</v>
      </c>
      <c r="B28" s="4">
        <f t="shared" si="0"/>
        <v>6</v>
      </c>
      <c r="C28" s="2">
        <v>6</v>
      </c>
      <c r="D28" s="1">
        <f t="shared" si="1"/>
        <v>0</v>
      </c>
      <c r="E28" s="3">
        <v>7.1999996900558472E-2</v>
      </c>
      <c r="F28" s="2">
        <v>6</v>
      </c>
      <c r="G28" s="1">
        <f t="shared" si="2"/>
        <v>0</v>
      </c>
      <c r="H28" s="3">
        <v>5.9000000357627869E-2</v>
      </c>
      <c r="I28" s="2">
        <v>6</v>
      </c>
      <c r="J28" s="1">
        <f t="shared" si="3"/>
        <v>0</v>
      </c>
      <c r="K28" s="3">
        <v>6.4999997615814209E-2</v>
      </c>
      <c r="L28" s="2">
        <v>6</v>
      </c>
      <c r="M28" s="1">
        <f t="shared" si="4"/>
        <v>0</v>
      </c>
      <c r="N28" s="3">
        <v>5.4000001400709152E-2</v>
      </c>
      <c r="O28" s="2">
        <v>6</v>
      </c>
      <c r="P28" s="1">
        <f t="shared" si="5"/>
        <v>0</v>
      </c>
      <c r="Q28" s="3">
        <v>8.9000001549720764E-2</v>
      </c>
      <c r="R28" s="2">
        <v>6</v>
      </c>
      <c r="S28" s="1">
        <f t="shared" si="6"/>
        <v>0</v>
      </c>
      <c r="T28" s="3">
        <v>5.9000000357627869E-2</v>
      </c>
      <c r="U28">
        <v>6</v>
      </c>
      <c r="V28" s="1">
        <f t="shared" si="7"/>
        <v>0</v>
      </c>
      <c r="W28" s="3">
        <v>6.7000001668930054E-2</v>
      </c>
      <c r="X28" s="2">
        <v>6</v>
      </c>
      <c r="Y28" s="1">
        <f t="shared" si="8"/>
        <v>0</v>
      </c>
      <c r="Z28" s="3">
        <v>7.5999997556209564E-2</v>
      </c>
      <c r="AA28" s="2">
        <v>6</v>
      </c>
      <c r="AB28" s="1">
        <f t="shared" si="9"/>
        <v>0</v>
      </c>
      <c r="AC28" s="3">
        <v>6.8999998271465302E-2</v>
      </c>
      <c r="AD28" s="2">
        <v>6</v>
      </c>
      <c r="AE28" s="1">
        <f t="shared" si="10"/>
        <v>0</v>
      </c>
      <c r="AF28" s="3">
        <v>7.5000002980232239E-2</v>
      </c>
      <c r="AG28" s="2">
        <v>6</v>
      </c>
      <c r="AH28" s="1">
        <f t="shared" si="11"/>
        <v>0</v>
      </c>
      <c r="AI28" s="3">
        <v>5.4999999701976776E-2</v>
      </c>
      <c r="AJ28" s="2">
        <v>6</v>
      </c>
      <c r="AK28" s="1">
        <f t="shared" si="12"/>
        <v>0</v>
      </c>
      <c r="AL28" s="3">
        <v>5.4000001400709152E-2</v>
      </c>
    </row>
    <row r="29" spans="1:38" x14ac:dyDescent="0.35">
      <c r="A29" t="s">
        <v>28</v>
      </c>
      <c r="B29" s="4">
        <f t="shared" si="0"/>
        <v>59</v>
      </c>
      <c r="C29" s="2">
        <v>59</v>
      </c>
      <c r="D29" s="1">
        <f t="shared" si="1"/>
        <v>0</v>
      </c>
      <c r="E29" s="3">
        <v>0.17000000178813934</v>
      </c>
      <c r="F29" s="2">
        <v>59</v>
      </c>
      <c r="G29" s="1">
        <f t="shared" si="2"/>
        <v>0</v>
      </c>
      <c r="H29" s="3">
        <v>0.15299999713897705</v>
      </c>
      <c r="I29" s="2">
        <v>59</v>
      </c>
      <c r="J29" s="1">
        <f t="shared" si="3"/>
        <v>0</v>
      </c>
      <c r="K29" s="3">
        <v>0.25600001215934753</v>
      </c>
      <c r="L29" s="2">
        <v>59</v>
      </c>
      <c r="M29" s="1">
        <f t="shared" si="4"/>
        <v>0</v>
      </c>
      <c r="N29" s="3">
        <v>0.16699999570846558</v>
      </c>
      <c r="O29" s="2">
        <v>59</v>
      </c>
      <c r="P29" s="1">
        <f t="shared" si="5"/>
        <v>0</v>
      </c>
      <c r="Q29" s="3">
        <v>0.19699999690055847</v>
      </c>
      <c r="R29" s="2">
        <v>59</v>
      </c>
      <c r="S29" s="1">
        <f t="shared" si="6"/>
        <v>0</v>
      </c>
      <c r="T29" s="3">
        <v>0.14599999785423279</v>
      </c>
      <c r="U29">
        <v>59</v>
      </c>
      <c r="V29" s="1">
        <f t="shared" si="7"/>
        <v>0</v>
      </c>
      <c r="W29" s="3">
        <v>0.19699999690055847</v>
      </c>
      <c r="X29" s="2">
        <v>59</v>
      </c>
      <c r="Y29" s="1">
        <f t="shared" si="8"/>
        <v>0</v>
      </c>
      <c r="Z29" s="3">
        <v>0.14000000059604645</v>
      </c>
      <c r="AA29" s="2">
        <v>59</v>
      </c>
      <c r="AB29" s="1">
        <f t="shared" si="9"/>
        <v>0</v>
      </c>
      <c r="AC29" s="3">
        <v>0.22100000083446503</v>
      </c>
      <c r="AD29" s="2">
        <v>59</v>
      </c>
      <c r="AE29" s="1">
        <f t="shared" si="10"/>
        <v>0</v>
      </c>
      <c r="AF29" s="3">
        <v>0.30399999022483826</v>
      </c>
      <c r="AG29" s="2">
        <v>59</v>
      </c>
      <c r="AH29" s="1">
        <f t="shared" si="11"/>
        <v>0</v>
      </c>
      <c r="AI29" s="3">
        <v>0.20100000500679016</v>
      </c>
      <c r="AJ29" s="2">
        <v>59</v>
      </c>
      <c r="AK29" s="1">
        <f t="shared" si="12"/>
        <v>0</v>
      </c>
      <c r="AL29" s="3">
        <v>0.17100000381469727</v>
      </c>
    </row>
    <row r="30" spans="1:38" x14ac:dyDescent="0.35">
      <c r="A30" t="s">
        <v>29</v>
      </c>
      <c r="B30" s="4">
        <f t="shared" si="0"/>
        <v>19</v>
      </c>
      <c r="C30" s="2">
        <v>19</v>
      </c>
      <c r="D30" s="1">
        <f t="shared" si="1"/>
        <v>0</v>
      </c>
      <c r="E30" s="3">
        <v>9.9999997764825821E-3</v>
      </c>
      <c r="F30" s="2">
        <v>19</v>
      </c>
      <c r="G30" s="1">
        <f t="shared" si="2"/>
        <v>0</v>
      </c>
      <c r="H30" s="3">
        <v>1.4000000432133675E-2</v>
      </c>
      <c r="I30" s="2">
        <v>19</v>
      </c>
      <c r="J30" s="1">
        <f t="shared" si="3"/>
        <v>0</v>
      </c>
      <c r="K30" s="3">
        <v>1.0999999940395355E-2</v>
      </c>
      <c r="L30" s="2">
        <v>19</v>
      </c>
      <c r="M30" s="1">
        <f t="shared" si="4"/>
        <v>0</v>
      </c>
      <c r="N30" s="3">
        <v>7.0000002160668373E-3</v>
      </c>
      <c r="O30" s="2">
        <v>19</v>
      </c>
      <c r="P30" s="1">
        <f t="shared" si="5"/>
        <v>0</v>
      </c>
      <c r="Q30" s="3">
        <v>1.4000000432133675E-2</v>
      </c>
      <c r="R30" s="2">
        <v>19</v>
      </c>
      <c r="S30" s="1">
        <f t="shared" si="6"/>
        <v>0</v>
      </c>
      <c r="T30" s="3">
        <v>1.3000000268220901E-2</v>
      </c>
      <c r="U30">
        <v>19</v>
      </c>
      <c r="V30" s="1">
        <f t="shared" si="7"/>
        <v>0</v>
      </c>
      <c r="W30" s="3">
        <v>2.3000000044703484E-2</v>
      </c>
      <c r="X30" s="2">
        <v>19</v>
      </c>
      <c r="Y30" s="1">
        <f t="shared" si="8"/>
        <v>0</v>
      </c>
      <c r="Z30" s="3">
        <v>8.0000003799796104E-3</v>
      </c>
      <c r="AA30" s="2">
        <v>19</v>
      </c>
      <c r="AB30" s="1">
        <f t="shared" si="9"/>
        <v>0</v>
      </c>
      <c r="AC30" s="3">
        <v>1.0999999940395355E-2</v>
      </c>
      <c r="AD30" s="2">
        <v>19</v>
      </c>
      <c r="AE30" s="1">
        <f t="shared" si="10"/>
        <v>0</v>
      </c>
      <c r="AF30" s="3">
        <v>8.999999612569809E-3</v>
      </c>
      <c r="AG30" s="2">
        <v>19</v>
      </c>
      <c r="AH30" s="1">
        <f t="shared" si="11"/>
        <v>0</v>
      </c>
      <c r="AI30" s="3">
        <v>1.0999999940395355E-2</v>
      </c>
      <c r="AJ30" s="2">
        <v>19</v>
      </c>
      <c r="AK30" s="1">
        <f t="shared" si="12"/>
        <v>0</v>
      </c>
      <c r="AL30" s="3">
        <v>1.7999999225139618E-2</v>
      </c>
    </row>
    <row r="31" spans="1:38" x14ac:dyDescent="0.35">
      <c r="A31" t="s">
        <v>30</v>
      </c>
      <c r="B31" s="4">
        <f t="shared" si="0"/>
        <v>25</v>
      </c>
      <c r="C31" s="2">
        <v>25</v>
      </c>
      <c r="D31" s="1">
        <f t="shared" si="1"/>
        <v>0</v>
      </c>
      <c r="E31" s="3">
        <v>9.0000003576278687E-2</v>
      </c>
      <c r="F31" s="2">
        <v>25</v>
      </c>
      <c r="G31" s="1">
        <f t="shared" si="2"/>
        <v>0</v>
      </c>
      <c r="H31" s="3">
        <v>7.1000002324581146E-2</v>
      </c>
      <c r="I31" s="2">
        <v>27</v>
      </c>
      <c r="J31" s="1">
        <f t="shared" si="3"/>
        <v>0.08</v>
      </c>
      <c r="K31" s="3">
        <v>9.6000000834465027E-2</v>
      </c>
      <c r="L31" s="2">
        <v>26</v>
      </c>
      <c r="M31" s="1">
        <f t="shared" si="4"/>
        <v>0.04</v>
      </c>
      <c r="N31" s="3">
        <v>5.4000001400709152E-2</v>
      </c>
      <c r="O31" s="2">
        <v>26</v>
      </c>
      <c r="P31" s="1">
        <f t="shared" si="5"/>
        <v>0.04</v>
      </c>
      <c r="Q31" s="3">
        <v>8.5000000894069672E-2</v>
      </c>
      <c r="R31" s="2">
        <v>25</v>
      </c>
      <c r="S31" s="1">
        <f t="shared" si="6"/>
        <v>0</v>
      </c>
      <c r="T31" s="3">
        <v>0.14599999785423279</v>
      </c>
      <c r="U31">
        <v>25</v>
      </c>
      <c r="V31" s="1">
        <f t="shared" si="7"/>
        <v>0</v>
      </c>
      <c r="W31" s="3">
        <v>0.13400000333786011</v>
      </c>
      <c r="X31" s="2">
        <v>25</v>
      </c>
      <c r="Y31" s="1">
        <f t="shared" si="8"/>
        <v>0</v>
      </c>
      <c r="Z31" s="3">
        <v>0.14200000464916229</v>
      </c>
      <c r="AA31" s="2">
        <v>25</v>
      </c>
      <c r="AB31" s="1">
        <f t="shared" si="9"/>
        <v>0</v>
      </c>
      <c r="AC31" s="3">
        <v>8.6000002920627594E-2</v>
      </c>
      <c r="AD31" s="2">
        <v>25</v>
      </c>
      <c r="AE31" s="1">
        <f t="shared" si="10"/>
        <v>0</v>
      </c>
      <c r="AF31" s="3">
        <v>6.4999997615814209E-2</v>
      </c>
      <c r="AG31" s="2">
        <v>26</v>
      </c>
      <c r="AH31" s="1">
        <f t="shared" si="11"/>
        <v>0.04</v>
      </c>
      <c r="AI31" s="3">
        <v>6.7000001668930054E-2</v>
      </c>
      <c r="AJ31" s="2">
        <v>25</v>
      </c>
      <c r="AK31" s="1">
        <f t="shared" si="12"/>
        <v>0</v>
      </c>
      <c r="AL31" s="3">
        <v>9.0999998152256012E-2</v>
      </c>
    </row>
    <row r="32" spans="1:38" x14ac:dyDescent="0.35">
      <c r="A32" t="s">
        <v>31</v>
      </c>
      <c r="B32" s="4">
        <f t="shared" si="0"/>
        <v>70</v>
      </c>
      <c r="C32" s="2">
        <v>70</v>
      </c>
      <c r="D32" s="1">
        <f t="shared" si="1"/>
        <v>0</v>
      </c>
      <c r="E32" s="3">
        <v>0.210999995470047</v>
      </c>
      <c r="F32" s="2">
        <v>71</v>
      </c>
      <c r="G32" s="1">
        <f t="shared" si="2"/>
        <v>1.4285714285714285E-2</v>
      </c>
      <c r="H32" s="3">
        <v>0.12600000202655792</v>
      </c>
      <c r="I32" s="2">
        <v>73</v>
      </c>
      <c r="J32" s="1">
        <f t="shared" si="3"/>
        <v>4.2857142857142858E-2</v>
      </c>
      <c r="K32" s="3">
        <v>0.1379999965429306</v>
      </c>
      <c r="L32" s="2">
        <v>71</v>
      </c>
      <c r="M32" s="1">
        <f t="shared" si="4"/>
        <v>1.4285714285714285E-2</v>
      </c>
      <c r="N32" s="3">
        <v>0.10599999874830246</v>
      </c>
      <c r="O32" s="2">
        <v>71</v>
      </c>
      <c r="P32" s="1">
        <f t="shared" si="5"/>
        <v>1.4285714285714285E-2</v>
      </c>
      <c r="Q32" s="3">
        <v>0.16500000655651093</v>
      </c>
      <c r="R32" s="2">
        <v>71</v>
      </c>
      <c r="S32" s="1">
        <f t="shared" si="6"/>
        <v>1.4285714285714285E-2</v>
      </c>
      <c r="T32" s="3">
        <v>9.2000000178813934E-2</v>
      </c>
      <c r="U32">
        <v>71</v>
      </c>
      <c r="V32" s="1">
        <f t="shared" si="7"/>
        <v>1.4285714285714285E-2</v>
      </c>
      <c r="W32" s="3">
        <v>0.11800000071525574</v>
      </c>
      <c r="X32" s="2">
        <v>73</v>
      </c>
      <c r="Y32" s="1">
        <f t="shared" si="8"/>
        <v>4.2857142857142858E-2</v>
      </c>
      <c r="Z32" s="3">
        <v>7.9999998211860657E-2</v>
      </c>
      <c r="AA32" s="2">
        <v>71</v>
      </c>
      <c r="AB32" s="1">
        <f t="shared" si="9"/>
        <v>1.4285714285714285E-2</v>
      </c>
      <c r="AC32" s="3">
        <v>0.17299999296665192</v>
      </c>
      <c r="AD32" s="2">
        <v>71</v>
      </c>
      <c r="AE32" s="1">
        <f t="shared" si="10"/>
        <v>1.4285714285714285E-2</v>
      </c>
      <c r="AF32" s="3">
        <v>0.21600000560283661</v>
      </c>
      <c r="AG32" s="2">
        <v>71</v>
      </c>
      <c r="AH32" s="1">
        <f t="shared" si="11"/>
        <v>1.4285714285714285E-2</v>
      </c>
      <c r="AI32" s="3">
        <v>0.10499999672174454</v>
      </c>
      <c r="AJ32" s="2">
        <v>71</v>
      </c>
      <c r="AK32" s="1">
        <f t="shared" si="12"/>
        <v>1.4285714285714285E-2</v>
      </c>
      <c r="AL32" s="3">
        <v>0.13400000333786011</v>
      </c>
    </row>
    <row r="33" spans="1:38" x14ac:dyDescent="0.35">
      <c r="A33" t="s">
        <v>32</v>
      </c>
      <c r="B33" s="4">
        <f t="shared" si="0"/>
        <v>3</v>
      </c>
      <c r="C33" s="2">
        <v>3</v>
      </c>
      <c r="D33" s="1">
        <f t="shared" si="1"/>
        <v>0</v>
      </c>
      <c r="E33" s="3">
        <v>4.0000001899898052E-3</v>
      </c>
      <c r="F33" s="2">
        <v>3</v>
      </c>
      <c r="G33" s="1">
        <f t="shared" si="2"/>
        <v>0</v>
      </c>
      <c r="H33" s="3">
        <v>4.0000001899898052E-3</v>
      </c>
      <c r="I33" s="2">
        <v>3</v>
      </c>
      <c r="J33" s="1">
        <f t="shared" si="3"/>
        <v>0</v>
      </c>
      <c r="K33" s="3">
        <v>4.0000001899898052E-3</v>
      </c>
      <c r="L33" s="2">
        <v>3</v>
      </c>
      <c r="M33" s="1">
        <f t="shared" si="4"/>
        <v>0</v>
      </c>
      <c r="N33" s="3">
        <v>3.0000000260770321E-3</v>
      </c>
      <c r="O33" s="2">
        <v>3</v>
      </c>
      <c r="P33" s="1">
        <f t="shared" si="5"/>
        <v>0</v>
      </c>
      <c r="Q33" s="3">
        <v>4.0000001899898052E-3</v>
      </c>
      <c r="R33" s="2">
        <v>3</v>
      </c>
      <c r="S33" s="1">
        <f t="shared" si="6"/>
        <v>0</v>
      </c>
      <c r="T33" s="3">
        <v>4.999999888241291E-3</v>
      </c>
      <c r="U33">
        <v>3</v>
      </c>
      <c r="V33" s="1">
        <f t="shared" si="7"/>
        <v>0</v>
      </c>
      <c r="W33" s="3">
        <v>4.0000001899898052E-3</v>
      </c>
      <c r="X33" s="2">
        <v>3</v>
      </c>
      <c r="Y33" s="1">
        <f t="shared" si="8"/>
        <v>0</v>
      </c>
      <c r="Z33" s="3">
        <v>4.0000001899898052E-3</v>
      </c>
      <c r="AA33" s="2">
        <v>3</v>
      </c>
      <c r="AB33" s="1">
        <f t="shared" si="9"/>
        <v>0</v>
      </c>
      <c r="AC33" s="3">
        <v>6.0000000521540642E-3</v>
      </c>
      <c r="AD33" s="2">
        <v>3</v>
      </c>
      <c r="AE33" s="1">
        <f t="shared" si="10"/>
        <v>0</v>
      </c>
      <c r="AF33" s="3">
        <v>4.0000001899898052E-3</v>
      </c>
      <c r="AG33" s="2">
        <v>3</v>
      </c>
      <c r="AH33" s="1">
        <f t="shared" si="11"/>
        <v>0</v>
      </c>
      <c r="AI33" s="3">
        <v>4.0000001899898052E-3</v>
      </c>
      <c r="AJ33" s="2">
        <v>3</v>
      </c>
      <c r="AK33" s="1">
        <f t="shared" si="12"/>
        <v>0</v>
      </c>
      <c r="AL33" s="3">
        <v>7.0000002160668373E-3</v>
      </c>
    </row>
    <row r="34" spans="1:38" x14ac:dyDescent="0.35">
      <c r="A34" t="s">
        <v>33</v>
      </c>
      <c r="B34" s="4">
        <f t="shared" si="0"/>
        <v>3</v>
      </c>
      <c r="C34" s="2">
        <v>3</v>
      </c>
      <c r="D34" s="1">
        <f t="shared" si="1"/>
        <v>0</v>
      </c>
      <c r="E34" s="3">
        <v>8.999999612569809E-3</v>
      </c>
      <c r="F34" s="2">
        <v>3</v>
      </c>
      <c r="G34" s="1">
        <f t="shared" si="2"/>
        <v>0</v>
      </c>
      <c r="H34" s="3">
        <v>9.9999997764825821E-3</v>
      </c>
      <c r="I34" s="2">
        <v>3</v>
      </c>
      <c r="J34" s="1">
        <f t="shared" si="3"/>
        <v>0</v>
      </c>
      <c r="K34" s="3">
        <v>1.2000000104308128E-2</v>
      </c>
      <c r="L34" s="2">
        <v>3</v>
      </c>
      <c r="M34" s="1">
        <f t="shared" si="4"/>
        <v>0</v>
      </c>
      <c r="N34" s="3">
        <v>8.999999612569809E-3</v>
      </c>
      <c r="O34" s="2">
        <v>3</v>
      </c>
      <c r="P34" s="1">
        <f t="shared" si="5"/>
        <v>0</v>
      </c>
      <c r="Q34" s="3">
        <v>1.3000000268220901E-2</v>
      </c>
      <c r="R34" s="2">
        <v>3</v>
      </c>
      <c r="S34" s="1">
        <f t="shared" si="6"/>
        <v>0</v>
      </c>
      <c r="T34" s="3">
        <v>9.9999997764825821E-3</v>
      </c>
      <c r="U34">
        <v>3</v>
      </c>
      <c r="V34" s="1">
        <f t="shared" si="7"/>
        <v>0</v>
      </c>
      <c r="W34" s="3">
        <v>8.999999612569809E-3</v>
      </c>
      <c r="X34" s="2">
        <v>3</v>
      </c>
      <c r="Y34" s="1">
        <f t="shared" si="8"/>
        <v>0</v>
      </c>
      <c r="Z34" s="3">
        <v>7.0000002160668373E-3</v>
      </c>
      <c r="AA34" s="2">
        <v>3</v>
      </c>
      <c r="AB34" s="1">
        <f t="shared" si="9"/>
        <v>0</v>
      </c>
      <c r="AC34" s="3">
        <v>8.999999612569809E-3</v>
      </c>
      <c r="AD34" s="2">
        <v>3</v>
      </c>
      <c r="AE34" s="1">
        <f t="shared" si="10"/>
        <v>0</v>
      </c>
      <c r="AF34" s="3">
        <v>6.0000000521540642E-3</v>
      </c>
      <c r="AG34" s="2">
        <v>3</v>
      </c>
      <c r="AH34" s="1">
        <f t="shared" si="11"/>
        <v>0</v>
      </c>
      <c r="AI34" s="3">
        <v>8.0000003799796104E-3</v>
      </c>
      <c r="AJ34" s="2">
        <v>3</v>
      </c>
      <c r="AK34" s="1">
        <f t="shared" si="12"/>
        <v>0</v>
      </c>
      <c r="AL34" s="3">
        <v>4.5000001788139343E-2</v>
      </c>
    </row>
    <row r="35" spans="1:38" x14ac:dyDescent="0.35">
      <c r="A35" t="s">
        <v>34</v>
      </c>
      <c r="B35" s="4">
        <f t="shared" si="0"/>
        <v>135</v>
      </c>
      <c r="C35" s="2">
        <v>139</v>
      </c>
      <c r="D35" s="1">
        <f t="shared" si="1"/>
        <v>2.9629629629629631E-2</v>
      </c>
      <c r="E35" s="3">
        <v>0.44999998807907104</v>
      </c>
      <c r="F35" s="2">
        <v>136</v>
      </c>
      <c r="G35" s="1">
        <f t="shared" si="2"/>
        <v>7.4074074074074077E-3</v>
      </c>
      <c r="H35" s="3">
        <v>0.34799998998641968</v>
      </c>
      <c r="I35" s="2">
        <v>136</v>
      </c>
      <c r="J35" s="1">
        <f t="shared" si="3"/>
        <v>7.4074074074074077E-3</v>
      </c>
      <c r="K35" s="3">
        <v>0.61900001764297485</v>
      </c>
      <c r="L35" s="2">
        <v>135</v>
      </c>
      <c r="M35" s="1">
        <f t="shared" si="4"/>
        <v>0</v>
      </c>
      <c r="N35" s="3">
        <v>0.44600000977516174</v>
      </c>
      <c r="O35" s="2">
        <v>137</v>
      </c>
      <c r="P35" s="1">
        <f t="shared" si="5"/>
        <v>1.4814814814814815E-2</v>
      </c>
      <c r="Q35" s="3">
        <v>0.33700001239776611</v>
      </c>
      <c r="R35" s="2">
        <v>137</v>
      </c>
      <c r="S35" s="1">
        <f t="shared" si="6"/>
        <v>1.4814814814814815E-2</v>
      </c>
      <c r="T35" s="3">
        <v>0.22200000286102295</v>
      </c>
      <c r="U35">
        <v>135</v>
      </c>
      <c r="V35" s="1">
        <f t="shared" si="7"/>
        <v>0</v>
      </c>
      <c r="W35" s="3">
        <v>0.56699997186660767</v>
      </c>
      <c r="X35" s="2">
        <v>149</v>
      </c>
      <c r="Y35" s="1">
        <f t="shared" si="8"/>
        <v>0.1037037037037037</v>
      </c>
      <c r="Z35" s="3">
        <v>0.13600000739097595</v>
      </c>
      <c r="AA35" s="2">
        <v>137</v>
      </c>
      <c r="AB35" s="1">
        <f t="shared" si="9"/>
        <v>1.4814814814814815E-2</v>
      </c>
      <c r="AC35" s="3">
        <v>0.50999999046325684</v>
      </c>
      <c r="AD35" s="2">
        <v>135</v>
      </c>
      <c r="AE35" s="1">
        <f t="shared" si="10"/>
        <v>0</v>
      </c>
      <c r="AF35" s="3">
        <v>0.40900000929832458</v>
      </c>
      <c r="AG35" s="2">
        <v>138</v>
      </c>
      <c r="AH35" s="1">
        <f t="shared" si="11"/>
        <v>2.2222222222222223E-2</v>
      </c>
      <c r="AI35" s="3">
        <v>0.27099999785423279</v>
      </c>
      <c r="AJ35" s="2">
        <v>139</v>
      </c>
      <c r="AK35" s="1">
        <f t="shared" si="12"/>
        <v>2.9629629629629631E-2</v>
      </c>
      <c r="AL35" s="3">
        <v>0.33300000429153442</v>
      </c>
    </row>
    <row r="36" spans="1:38" x14ac:dyDescent="0.35">
      <c r="A36" t="s">
        <v>35</v>
      </c>
      <c r="B36" s="4">
        <f t="shared" si="0"/>
        <v>61</v>
      </c>
      <c r="C36" s="2">
        <v>61</v>
      </c>
      <c r="D36" s="1">
        <f t="shared" si="1"/>
        <v>0</v>
      </c>
      <c r="E36" s="3">
        <v>7.0000000298023224E-2</v>
      </c>
      <c r="F36" s="2">
        <v>64</v>
      </c>
      <c r="G36" s="1">
        <f t="shared" si="2"/>
        <v>4.9180327868852458E-2</v>
      </c>
      <c r="H36" s="3">
        <v>4.6000000089406967E-2</v>
      </c>
      <c r="I36" s="2">
        <v>66</v>
      </c>
      <c r="J36" s="1">
        <f t="shared" si="3"/>
        <v>8.1967213114754092E-2</v>
      </c>
      <c r="K36" s="3">
        <v>5.6000001728534698E-2</v>
      </c>
      <c r="L36" s="2">
        <v>61</v>
      </c>
      <c r="M36" s="1">
        <f t="shared" si="4"/>
        <v>0</v>
      </c>
      <c r="N36" s="3">
        <v>5.6000001728534698E-2</v>
      </c>
      <c r="O36" s="2">
        <v>61</v>
      </c>
      <c r="P36" s="1">
        <f t="shared" si="5"/>
        <v>0</v>
      </c>
      <c r="Q36" s="3">
        <v>0.10199999809265137</v>
      </c>
      <c r="R36" s="2">
        <v>63</v>
      </c>
      <c r="S36" s="1">
        <f t="shared" si="6"/>
        <v>3.2786885245901641E-2</v>
      </c>
      <c r="T36" s="3">
        <v>4.1999999433755875E-2</v>
      </c>
      <c r="U36">
        <v>66</v>
      </c>
      <c r="V36" s="1">
        <f t="shared" si="7"/>
        <v>8.1967213114754092E-2</v>
      </c>
      <c r="W36" s="3">
        <v>5.9000000357627869E-2</v>
      </c>
      <c r="X36" s="2">
        <v>66</v>
      </c>
      <c r="Y36" s="1">
        <f t="shared" si="8"/>
        <v>8.1967213114754092E-2</v>
      </c>
      <c r="Z36" s="3">
        <v>2.9999999329447746E-2</v>
      </c>
      <c r="AA36" s="2">
        <v>61</v>
      </c>
      <c r="AB36" s="1">
        <f t="shared" si="9"/>
        <v>0</v>
      </c>
      <c r="AC36" s="3">
        <v>5.4000001400709152E-2</v>
      </c>
      <c r="AD36" s="2">
        <v>63</v>
      </c>
      <c r="AE36" s="1">
        <f t="shared" si="10"/>
        <v>3.2786885245901641E-2</v>
      </c>
      <c r="AF36" s="3">
        <v>0.11100000143051147</v>
      </c>
      <c r="AG36" s="2">
        <v>63</v>
      </c>
      <c r="AH36" s="1">
        <f t="shared" si="11"/>
        <v>3.2786885245901641E-2</v>
      </c>
      <c r="AI36" s="3">
        <v>4.1999999433755875E-2</v>
      </c>
      <c r="AJ36" s="2">
        <v>61</v>
      </c>
      <c r="AK36" s="1">
        <f t="shared" si="12"/>
        <v>0</v>
      </c>
      <c r="AL36" s="3">
        <v>5.4999999701976776E-2</v>
      </c>
    </row>
    <row r="37" spans="1:38" x14ac:dyDescent="0.35">
      <c r="A37" t="s">
        <v>36</v>
      </c>
      <c r="B37" s="4">
        <f t="shared" si="0"/>
        <v>11</v>
      </c>
      <c r="C37" s="2">
        <v>11</v>
      </c>
      <c r="D37" s="1">
        <f t="shared" si="1"/>
        <v>0</v>
      </c>
      <c r="E37" s="3">
        <v>2.8000000864267349E-2</v>
      </c>
      <c r="F37" s="2">
        <v>11</v>
      </c>
      <c r="G37" s="1">
        <f t="shared" si="2"/>
        <v>0</v>
      </c>
      <c r="H37" s="3">
        <v>2.199999988079071E-2</v>
      </c>
      <c r="I37" s="2">
        <v>15</v>
      </c>
      <c r="J37" s="1">
        <f t="shared" si="3"/>
        <v>0.36363636363636365</v>
      </c>
      <c r="K37" s="3">
        <v>2.199999988079071E-2</v>
      </c>
      <c r="L37" s="2">
        <v>11</v>
      </c>
      <c r="M37" s="1">
        <f t="shared" si="4"/>
        <v>0</v>
      </c>
      <c r="N37" s="3">
        <v>2.3000000044703484E-2</v>
      </c>
      <c r="O37" s="2">
        <v>11</v>
      </c>
      <c r="P37" s="1">
        <f t="shared" si="5"/>
        <v>0</v>
      </c>
      <c r="Q37" s="3">
        <v>2.3000000044703484E-2</v>
      </c>
      <c r="R37" s="2">
        <v>11</v>
      </c>
      <c r="S37" s="1">
        <f t="shared" si="6"/>
        <v>0</v>
      </c>
      <c r="T37" s="3">
        <v>3.4000001847743988E-2</v>
      </c>
      <c r="U37">
        <v>14</v>
      </c>
      <c r="V37" s="1">
        <f t="shared" si="7"/>
        <v>0.27272727272727271</v>
      </c>
      <c r="W37" s="3">
        <v>2.9999999329447746E-2</v>
      </c>
      <c r="X37" s="2">
        <v>15</v>
      </c>
      <c r="Y37" s="1">
        <f t="shared" si="8"/>
        <v>0.36363636363636365</v>
      </c>
      <c r="Z37" s="3">
        <v>1.3000000268220901E-2</v>
      </c>
      <c r="AA37" s="2">
        <v>11</v>
      </c>
      <c r="AB37" s="1">
        <f t="shared" si="9"/>
        <v>0</v>
      </c>
      <c r="AC37" s="3">
        <v>2.3000000044703484E-2</v>
      </c>
      <c r="AD37" s="2">
        <v>11</v>
      </c>
      <c r="AE37" s="1">
        <f t="shared" si="10"/>
        <v>0</v>
      </c>
      <c r="AF37" s="3">
        <v>4.1000001132488251E-2</v>
      </c>
      <c r="AG37" s="2">
        <v>15</v>
      </c>
      <c r="AH37" s="1">
        <f t="shared" si="11"/>
        <v>0.36363636363636365</v>
      </c>
      <c r="AI37" s="3">
        <v>9.9999997764825821E-3</v>
      </c>
      <c r="AJ37" s="2">
        <v>15</v>
      </c>
      <c r="AK37" s="1">
        <f t="shared" si="12"/>
        <v>0.36363636363636365</v>
      </c>
      <c r="AL37" s="3">
        <v>1.0999999940395355E-2</v>
      </c>
    </row>
    <row r="38" spans="1:38" x14ac:dyDescent="0.35">
      <c r="A38" t="s">
        <v>37</v>
      </c>
      <c r="B38" s="4">
        <f t="shared" si="0"/>
        <v>2</v>
      </c>
      <c r="C38" s="2">
        <v>2</v>
      </c>
      <c r="D38" s="1">
        <f t="shared" si="1"/>
        <v>0</v>
      </c>
      <c r="E38" s="3">
        <v>8.999999612569809E-3</v>
      </c>
      <c r="F38" s="2">
        <v>2</v>
      </c>
      <c r="G38" s="1">
        <f t="shared" si="2"/>
        <v>0</v>
      </c>
      <c r="H38" s="3">
        <v>8.999999612569809E-3</v>
      </c>
      <c r="I38" s="2">
        <v>2</v>
      </c>
      <c r="J38" s="1">
        <f t="shared" si="3"/>
        <v>0</v>
      </c>
      <c r="K38" s="3">
        <v>9.9999997764825821E-3</v>
      </c>
      <c r="L38" s="2">
        <v>2</v>
      </c>
      <c r="M38" s="1">
        <f t="shared" si="4"/>
        <v>0</v>
      </c>
      <c r="N38" s="3">
        <v>1.3000000268220901E-2</v>
      </c>
      <c r="O38" s="2">
        <v>2</v>
      </c>
      <c r="P38" s="1">
        <f t="shared" si="5"/>
        <v>0</v>
      </c>
      <c r="Q38" s="3">
        <v>8.999999612569809E-3</v>
      </c>
      <c r="R38" s="2">
        <v>2</v>
      </c>
      <c r="S38" s="1">
        <f t="shared" si="6"/>
        <v>0</v>
      </c>
      <c r="T38" s="3">
        <v>2.0999999716877937E-2</v>
      </c>
      <c r="U38">
        <v>2</v>
      </c>
      <c r="V38" s="1">
        <f t="shared" si="7"/>
        <v>0</v>
      </c>
      <c r="W38" s="3">
        <v>8.999999612569809E-3</v>
      </c>
      <c r="X38" s="2">
        <v>2</v>
      </c>
      <c r="Y38" s="1">
        <f t="shared" si="8"/>
        <v>0</v>
      </c>
      <c r="Z38" s="3">
        <v>9.9999997764825821E-3</v>
      </c>
      <c r="AA38" s="2">
        <v>2</v>
      </c>
      <c r="AB38" s="1">
        <f t="shared" si="9"/>
        <v>0</v>
      </c>
      <c r="AC38" s="3">
        <v>8.0000003799796104E-3</v>
      </c>
      <c r="AD38" s="2">
        <v>2</v>
      </c>
      <c r="AE38" s="1">
        <f t="shared" si="10"/>
        <v>0</v>
      </c>
      <c r="AF38" s="3">
        <v>7.0000002160668373E-3</v>
      </c>
      <c r="AG38" s="2">
        <v>2</v>
      </c>
      <c r="AH38" s="1">
        <f t="shared" si="11"/>
        <v>0</v>
      </c>
      <c r="AI38" s="3">
        <v>8.0000003799796104E-3</v>
      </c>
      <c r="AJ38" s="2">
        <v>2</v>
      </c>
      <c r="AK38" s="1">
        <f t="shared" si="12"/>
        <v>0</v>
      </c>
      <c r="AL38" s="3">
        <v>1.4999999664723873E-2</v>
      </c>
    </row>
    <row r="39" spans="1:38" x14ac:dyDescent="0.35">
      <c r="A39" t="s">
        <v>38</v>
      </c>
      <c r="B39" s="4">
        <f t="shared" si="0"/>
        <v>90</v>
      </c>
      <c r="C39" s="2">
        <v>91</v>
      </c>
      <c r="D39" s="1">
        <f t="shared" si="1"/>
        <v>1.1111111111111112E-2</v>
      </c>
      <c r="E39" s="3">
        <v>0.39500001072883606</v>
      </c>
      <c r="F39" s="2">
        <v>90</v>
      </c>
      <c r="G39" s="1">
        <f t="shared" si="2"/>
        <v>0</v>
      </c>
      <c r="H39" s="3">
        <v>0.6940000057220459</v>
      </c>
      <c r="I39" s="2">
        <v>98</v>
      </c>
      <c r="J39" s="1">
        <f t="shared" si="3"/>
        <v>8.8888888888888892E-2</v>
      </c>
      <c r="K39" s="3">
        <v>0.41200000047683716</v>
      </c>
      <c r="L39" s="2">
        <v>91</v>
      </c>
      <c r="M39" s="1">
        <f t="shared" si="4"/>
        <v>1.1111111111111112E-2</v>
      </c>
      <c r="N39" s="3">
        <v>0.24799999594688416</v>
      </c>
      <c r="O39" s="2">
        <v>92</v>
      </c>
      <c r="P39" s="1">
        <f t="shared" si="5"/>
        <v>2.2222222222222223E-2</v>
      </c>
      <c r="Q39" s="3">
        <v>0.32400000095367432</v>
      </c>
      <c r="R39" s="2">
        <v>93</v>
      </c>
      <c r="S39" s="1">
        <f t="shared" si="6"/>
        <v>3.3333333333333333E-2</v>
      </c>
      <c r="T39" s="3">
        <v>0.4869999885559082</v>
      </c>
      <c r="U39">
        <v>96</v>
      </c>
      <c r="V39" s="1">
        <f t="shared" si="7"/>
        <v>6.6666666666666666E-2</v>
      </c>
      <c r="W39" s="3">
        <v>0.35400000214576721</v>
      </c>
      <c r="X39" s="2">
        <v>100</v>
      </c>
      <c r="Y39" s="1">
        <f t="shared" si="8"/>
        <v>0.1111111111111111</v>
      </c>
      <c r="Z39" s="3">
        <v>0.16200000047683716</v>
      </c>
      <c r="AA39" s="2">
        <v>94</v>
      </c>
      <c r="AB39" s="1">
        <f t="shared" si="9"/>
        <v>4.4444444444444446E-2</v>
      </c>
      <c r="AC39" s="3">
        <v>0.48199999332427979</v>
      </c>
      <c r="AD39" s="2">
        <v>92</v>
      </c>
      <c r="AE39" s="1">
        <f t="shared" si="10"/>
        <v>2.2222222222222223E-2</v>
      </c>
      <c r="AF39" s="3">
        <v>0.64999997615814209</v>
      </c>
      <c r="AG39" s="2">
        <v>93</v>
      </c>
      <c r="AH39" s="1">
        <f t="shared" si="11"/>
        <v>3.3333333333333333E-2</v>
      </c>
      <c r="AI39" s="3">
        <v>0.50900000333786011</v>
      </c>
      <c r="AJ39" s="2">
        <v>96</v>
      </c>
      <c r="AK39" s="1">
        <f t="shared" si="12"/>
        <v>6.6666666666666666E-2</v>
      </c>
      <c r="AL39" s="3">
        <v>0.54400002956390381</v>
      </c>
    </row>
    <row r="40" spans="1:38" ht="15" thickBot="1" x14ac:dyDescent="0.4">
      <c r="A40" t="s">
        <v>39</v>
      </c>
      <c r="B40" s="4">
        <f t="shared" si="0"/>
        <v>20</v>
      </c>
      <c r="C40" s="2">
        <v>20</v>
      </c>
      <c r="D40" s="1">
        <f t="shared" si="1"/>
        <v>0</v>
      </c>
      <c r="E40" s="3">
        <v>3.9999999105930328E-2</v>
      </c>
      <c r="F40" s="2">
        <v>20</v>
      </c>
      <c r="G40" s="1">
        <f t="shared" si="2"/>
        <v>0</v>
      </c>
      <c r="H40" s="3">
        <v>3.2000001519918442E-2</v>
      </c>
      <c r="I40" s="2">
        <v>20</v>
      </c>
      <c r="J40" s="1">
        <f t="shared" si="3"/>
        <v>0</v>
      </c>
      <c r="K40" s="3">
        <v>2.8000000864267349E-2</v>
      </c>
      <c r="L40" s="2">
        <v>20</v>
      </c>
      <c r="M40" s="1">
        <f t="shared" si="4"/>
        <v>0</v>
      </c>
      <c r="N40" s="3">
        <v>3.7999998778104782E-2</v>
      </c>
      <c r="O40" s="2">
        <v>20</v>
      </c>
      <c r="P40" s="1">
        <f t="shared" si="5"/>
        <v>0</v>
      </c>
      <c r="Q40" s="3">
        <v>2.6000000536441803E-2</v>
      </c>
      <c r="R40" s="2">
        <v>20</v>
      </c>
      <c r="S40" s="1">
        <f t="shared" si="6"/>
        <v>0</v>
      </c>
      <c r="T40" s="3">
        <v>3.9999999105930328E-2</v>
      </c>
      <c r="U40">
        <v>20</v>
      </c>
      <c r="V40" s="1">
        <f t="shared" si="7"/>
        <v>0</v>
      </c>
      <c r="W40" s="3">
        <v>3.4000001847743988E-2</v>
      </c>
      <c r="X40" s="2">
        <v>20</v>
      </c>
      <c r="Y40" s="1">
        <f t="shared" si="8"/>
        <v>0</v>
      </c>
      <c r="Z40" s="3">
        <v>3.5000000149011612E-2</v>
      </c>
      <c r="AA40" s="2">
        <v>20</v>
      </c>
      <c r="AB40" s="1">
        <f t="shared" si="9"/>
        <v>0</v>
      </c>
      <c r="AC40" s="3">
        <v>5.000000074505806E-2</v>
      </c>
      <c r="AD40" s="2">
        <v>20</v>
      </c>
      <c r="AE40" s="1">
        <f t="shared" si="10"/>
        <v>0</v>
      </c>
      <c r="AF40" s="3">
        <v>7.2999998927116394E-2</v>
      </c>
      <c r="AG40" s="2">
        <v>20</v>
      </c>
      <c r="AH40" s="1">
        <f t="shared" si="11"/>
        <v>0</v>
      </c>
      <c r="AI40" s="3">
        <v>2.8999999165534973E-2</v>
      </c>
      <c r="AJ40" s="2">
        <v>20</v>
      </c>
      <c r="AK40" s="1">
        <f t="shared" si="12"/>
        <v>0</v>
      </c>
      <c r="AL40" s="3">
        <v>2.4000000208616257E-2</v>
      </c>
    </row>
    <row r="41" spans="1:38" ht="15" thickBot="1" x14ac:dyDescent="0.4">
      <c r="C41" s="5">
        <f>AVERAGE(C2:C40)</f>
        <v>72.230769230769226</v>
      </c>
      <c r="D41" s="9">
        <f>AVERAGE(D2:D40)</f>
        <v>3.457651031932425E-3</v>
      </c>
      <c r="E41" s="8">
        <f t="shared" ref="E41:W41" si="13">AVERAGE(E2:E40)</f>
        <v>0.1724615378711277</v>
      </c>
      <c r="F41" s="5">
        <f>AVERAGE(F2:F40)</f>
        <v>72.179487179487182</v>
      </c>
      <c r="G41" s="9">
        <f>AVERAGE(G2:G40)</f>
        <v>4.2274264010651111E-3</v>
      </c>
      <c r="H41" s="8">
        <f t="shared" ref="H41" si="14">AVERAGE(H2:H40)</f>
        <v>0.22984615531869423</v>
      </c>
      <c r="I41" s="5">
        <f>AVERAGE(I2:I40)</f>
        <v>74.410256410256409</v>
      </c>
      <c r="J41" s="9">
        <f>AVERAGE(J2:J40)</f>
        <v>2.9607948551522194E-2</v>
      </c>
      <c r="K41" s="8">
        <f t="shared" ref="K41" si="15">AVERAGE(K2:K40)</f>
        <v>0.21117948606992379</v>
      </c>
      <c r="L41" s="5">
        <f>AVERAGE(L2:L40)</f>
        <v>72.615384615384613</v>
      </c>
      <c r="M41" s="9">
        <f>AVERAGE(M2:M40)</f>
        <v>4.4528721605063878E-3</v>
      </c>
      <c r="N41" s="8">
        <f t="shared" ref="N41" si="16">AVERAGE(N2:N40)</f>
        <v>0.13002564087032509</v>
      </c>
      <c r="O41" s="5">
        <f>AVERAGE(O2:O40)</f>
        <v>72.384615384615387</v>
      </c>
      <c r="P41" s="9">
        <f>AVERAGE(P2:P40)</f>
        <v>6.0454090804126486E-3</v>
      </c>
      <c r="Q41" s="8">
        <f t="shared" ref="Q41" si="17">AVERAGE(Q2:Q40)</f>
        <v>0.15066666644400892</v>
      </c>
      <c r="R41" s="5">
        <f>AVERAGE(R2:R40)</f>
        <v>72.948717948717942</v>
      </c>
      <c r="S41" s="9">
        <f>AVERAGE(S2:S40)</f>
        <v>8.4262617742988516E-3</v>
      </c>
      <c r="T41" s="8">
        <f t="shared" ref="T41" si="18">AVERAGE(T2:T40)</f>
        <v>0.17015384610455769</v>
      </c>
      <c r="U41" s="5">
        <f>AVERAGE(U2:U40)</f>
        <v>73.307692307692307</v>
      </c>
      <c r="V41" s="9">
        <f>AVERAGE(V2:V40)</f>
        <v>2.0419510190319158E-2</v>
      </c>
      <c r="W41" s="8">
        <f t="shared" ref="W41" si="19">AVERAGE(W2:W40)</f>
        <v>0.17292307418150207</v>
      </c>
      <c r="X41" s="5">
        <f>AVERAGE(X2:X40)</f>
        <v>76.333333333333329</v>
      </c>
      <c r="Y41" s="9">
        <f>AVERAGE(Y2:Y40)</f>
        <v>5.640326230626861E-2</v>
      </c>
      <c r="Z41" s="8">
        <f t="shared" ref="Z41" si="20">AVERAGE(Z2:Z40)</f>
        <v>7.8846154465841561E-2</v>
      </c>
      <c r="AA41" s="5">
        <f>AVERAGE(AA2:AA40)</f>
        <v>72.128205128205124</v>
      </c>
      <c r="AB41" s="9">
        <f>AVERAGE(AB2:AB40)</f>
        <v>2.5979351841735479E-3</v>
      </c>
      <c r="AC41" s="8">
        <f t="shared" ref="AC41" si="21">AVERAGE(AC2:AC40)</f>
        <v>0.20184615374996495</v>
      </c>
      <c r="AD41" s="5">
        <f>AVERAGE(AD2:AD40)</f>
        <v>72.487179487179489</v>
      </c>
      <c r="AE41" s="9">
        <f>AVERAGE(AE2:AE40)</f>
        <v>5.735658933471448E-3</v>
      </c>
      <c r="AF41" s="8">
        <f t="shared" ref="AF41" si="22">AVERAGE(AF2:AF40)</f>
        <v>0.28007691972053206</v>
      </c>
      <c r="AG41" s="5">
        <f>AVERAGE(AG2:AG40)</f>
        <v>73.179487179487182</v>
      </c>
      <c r="AH41" s="9">
        <f>AVERAGE(AH2:AH40)</f>
        <v>1.9804976785672106E-2</v>
      </c>
      <c r="AI41" s="8">
        <f t="shared" ref="AI41" si="23">AVERAGE(AI2:AI40)</f>
        <v>0.15446154012058216</v>
      </c>
      <c r="AJ41" s="5">
        <f>AVERAGE(AJ2:AJ40)</f>
        <v>73.461538461538467</v>
      </c>
      <c r="AK41" s="9">
        <f>AVERAGE(AK2:AK40)</f>
        <v>2.1209158698036877E-2</v>
      </c>
      <c r="AL41" s="8">
        <f t="shared" ref="AL41" si="24">AVERAGE(AL2:AL40)</f>
        <v>0.16056410388615078</v>
      </c>
    </row>
    <row r="42" spans="1:38" ht="15" thickBot="1" x14ac:dyDescent="0.4">
      <c r="C42" s="10">
        <f>COUNTIF(D$2:D$40,0)</f>
        <v>31</v>
      </c>
      <c r="F42" s="10">
        <f>COUNTIF(G$2:G$40,0)</f>
        <v>29</v>
      </c>
      <c r="I42" s="10">
        <f>COUNTIF(J$2:J$40,0)</f>
        <v>22</v>
      </c>
      <c r="L42" s="10">
        <f>COUNTIF(M$2:M$40,0)</f>
        <v>31</v>
      </c>
      <c r="O42" s="10">
        <f>COUNTIF(P$2:P$40,0)</f>
        <v>29</v>
      </c>
      <c r="R42" s="10">
        <f>COUNTIF(S$2:S$40,0)</f>
        <v>25</v>
      </c>
      <c r="U42" s="10">
        <f>COUNTIF(V$2:V$40,0)</f>
        <v>25</v>
      </c>
      <c r="X42" s="10">
        <f>COUNTIF(Y$2:Y$40,0)</f>
        <v>16</v>
      </c>
      <c r="AA42" s="10">
        <f>COUNTIF(AB$2:AB$40,0)</f>
        <v>32</v>
      </c>
      <c r="AD42" s="10">
        <f>COUNTIF(AE$2:AE$40,0)</f>
        <v>31</v>
      </c>
      <c r="AG42" s="10">
        <f>COUNTIF(AH$2:AH$40,0)</f>
        <v>25</v>
      </c>
      <c r="AJ42" s="10">
        <f>COUNTIF(AK$2:AK$40,0)</f>
        <v>25</v>
      </c>
    </row>
    <row r="44" spans="1:38" ht="15" thickBot="1" x14ac:dyDescent="0.4"/>
    <row r="45" spans="1:38" ht="15" thickBot="1" x14ac:dyDescent="0.4">
      <c r="A45" s="5" t="s">
        <v>0</v>
      </c>
      <c r="B45" s="6" t="s">
        <v>44</v>
      </c>
      <c r="C45" s="5" t="s">
        <v>42</v>
      </c>
      <c r="D45" s="7" t="s">
        <v>45</v>
      </c>
      <c r="E45" s="8" t="s">
        <v>46</v>
      </c>
      <c r="F45" s="5" t="s">
        <v>40</v>
      </c>
      <c r="G45" s="7" t="s">
        <v>45</v>
      </c>
      <c r="H45" s="8" t="s">
        <v>46</v>
      </c>
      <c r="J45" s="10" t="s">
        <v>0</v>
      </c>
      <c r="K45" s="6" t="s">
        <v>44</v>
      </c>
      <c r="L45" s="5" t="s">
        <v>42</v>
      </c>
      <c r="M45" s="7" t="s">
        <v>45</v>
      </c>
      <c r="N45" s="8" t="s">
        <v>46</v>
      </c>
      <c r="O45" s="5" t="s">
        <v>43</v>
      </c>
      <c r="P45" s="7" t="s">
        <v>45</v>
      </c>
      <c r="Q45" s="8" t="s">
        <v>46</v>
      </c>
    </row>
    <row r="46" spans="1:38" x14ac:dyDescent="0.35">
      <c r="A46" t="s">
        <v>1</v>
      </c>
      <c r="B46" s="4">
        <f>MIN(C46,F46)</f>
        <v>125</v>
      </c>
      <c r="C46" s="2">
        <v>125</v>
      </c>
      <c r="D46" s="11">
        <f>(C46-$B46)/$B46</f>
        <v>0</v>
      </c>
      <c r="E46" s="3">
        <v>0.36800000100000002</v>
      </c>
      <c r="F46" s="2">
        <v>125</v>
      </c>
      <c r="G46" s="1">
        <f>(F46-$B46)/$B46</f>
        <v>0</v>
      </c>
      <c r="H46" s="3">
        <v>0.11900000274181366</v>
      </c>
      <c r="J46" s="12" t="s">
        <v>1</v>
      </c>
      <c r="K46" s="4">
        <f>MIN(L46,O46)</f>
        <v>124</v>
      </c>
      <c r="L46" s="2">
        <v>125</v>
      </c>
      <c r="M46" s="11">
        <f>(L46-$K46)/$K46</f>
        <v>8.0645161290322578E-3</v>
      </c>
      <c r="N46" s="3">
        <v>0.36800000100000002</v>
      </c>
      <c r="O46" s="2">
        <v>124</v>
      </c>
      <c r="P46" s="11">
        <f>(O46-$K46)/$K46</f>
        <v>0</v>
      </c>
      <c r="Q46" s="3">
        <v>0.11900000274181366</v>
      </c>
    </row>
    <row r="47" spans="1:38" x14ac:dyDescent="0.35">
      <c r="A47" t="s">
        <v>2</v>
      </c>
      <c r="B47" s="4">
        <f t="shared" ref="B47:B84" si="25">MIN(C47,F47)</f>
        <v>160</v>
      </c>
      <c r="C47" s="2">
        <v>160</v>
      </c>
      <c r="D47" s="11">
        <f t="shared" ref="D47:D84" si="26">(C47-$B47)/$B47</f>
        <v>0</v>
      </c>
      <c r="E47" s="3">
        <v>0.61500001000000004</v>
      </c>
      <c r="F47" s="2">
        <v>161</v>
      </c>
      <c r="G47" s="1">
        <f t="shared" ref="G47:G84" si="27">(F47-$B47)/$B47</f>
        <v>6.2500000000000003E-3</v>
      </c>
      <c r="H47" s="3">
        <v>0.37799999117851257</v>
      </c>
      <c r="J47" s="12" t="s">
        <v>2</v>
      </c>
      <c r="K47" s="4">
        <f t="shared" ref="K47:K84" si="28">MIN(L47,O47)</f>
        <v>160</v>
      </c>
      <c r="L47" s="2">
        <v>160</v>
      </c>
      <c r="M47" s="11">
        <f t="shared" ref="M47:M84" si="29">(L47-$K47)/$K47</f>
        <v>0</v>
      </c>
      <c r="N47" s="3">
        <v>0.61500001000000004</v>
      </c>
      <c r="O47" s="2">
        <v>162</v>
      </c>
      <c r="P47" s="11">
        <f t="shared" ref="P47:P84" si="30">(O47-$K47)/$K47</f>
        <v>1.2500000000000001E-2</v>
      </c>
      <c r="Q47" s="3">
        <v>0.37799999117851257</v>
      </c>
    </row>
    <row r="48" spans="1:38" x14ac:dyDescent="0.35">
      <c r="A48" t="s">
        <v>3</v>
      </c>
      <c r="B48" s="4">
        <f t="shared" si="25"/>
        <v>298</v>
      </c>
      <c r="C48" s="2">
        <v>298</v>
      </c>
      <c r="D48" s="11">
        <f t="shared" si="26"/>
        <v>0</v>
      </c>
      <c r="E48" s="3">
        <v>1.9060000180000001</v>
      </c>
      <c r="F48" s="2">
        <v>302</v>
      </c>
      <c r="G48" s="1">
        <f t="shared" si="27"/>
        <v>1.3422818791946308E-2</v>
      </c>
      <c r="H48" s="3">
        <v>1.2130000591278076</v>
      </c>
      <c r="J48" s="12" t="s">
        <v>3</v>
      </c>
      <c r="K48" s="4">
        <f t="shared" si="28"/>
        <v>298</v>
      </c>
      <c r="L48" s="2">
        <v>298</v>
      </c>
      <c r="M48" s="11">
        <f t="shared" si="29"/>
        <v>0</v>
      </c>
      <c r="N48" s="3">
        <v>1.9060000180000001</v>
      </c>
      <c r="O48" s="2">
        <v>311</v>
      </c>
      <c r="P48" s="11">
        <f t="shared" si="30"/>
        <v>4.3624161073825503E-2</v>
      </c>
      <c r="Q48" s="3">
        <v>1.2130000591278076</v>
      </c>
    </row>
    <row r="49" spans="1:17" x14ac:dyDescent="0.35">
      <c r="A49" t="s">
        <v>4</v>
      </c>
      <c r="B49" s="4">
        <f t="shared" si="25"/>
        <v>45</v>
      </c>
      <c r="C49" s="2">
        <v>45</v>
      </c>
      <c r="D49" s="11">
        <f t="shared" si="26"/>
        <v>0</v>
      </c>
      <c r="E49" s="3">
        <v>3.4000002000000001E-2</v>
      </c>
      <c r="F49" s="2">
        <v>45</v>
      </c>
      <c r="G49" s="1">
        <f t="shared" si="27"/>
        <v>0</v>
      </c>
      <c r="H49" s="3">
        <v>1.7999999225139618E-2</v>
      </c>
      <c r="J49" s="12" t="s">
        <v>4</v>
      </c>
      <c r="K49" s="4">
        <f t="shared" si="28"/>
        <v>45</v>
      </c>
      <c r="L49" s="2">
        <v>45</v>
      </c>
      <c r="M49" s="11">
        <f t="shared" si="29"/>
        <v>0</v>
      </c>
      <c r="N49" s="3">
        <v>3.4000002000000001E-2</v>
      </c>
      <c r="O49" s="2">
        <v>45</v>
      </c>
      <c r="P49" s="11">
        <f t="shared" si="30"/>
        <v>0</v>
      </c>
      <c r="Q49" s="3">
        <v>1.7999999225139618E-2</v>
      </c>
    </row>
    <row r="50" spans="1:17" x14ac:dyDescent="0.35">
      <c r="A50" t="s">
        <v>5</v>
      </c>
      <c r="B50" s="4">
        <f t="shared" si="25"/>
        <v>36</v>
      </c>
      <c r="C50" s="2">
        <v>36</v>
      </c>
      <c r="D50" s="11">
        <f t="shared" si="26"/>
        <v>0</v>
      </c>
      <c r="E50" s="3">
        <v>2E-3</v>
      </c>
      <c r="F50" s="2">
        <v>36</v>
      </c>
      <c r="G50" s="1">
        <f t="shared" si="27"/>
        <v>0</v>
      </c>
      <c r="H50" s="3">
        <v>4.0000001899898052E-3</v>
      </c>
      <c r="J50" s="12" t="s">
        <v>5</v>
      </c>
      <c r="K50" s="4">
        <f t="shared" si="28"/>
        <v>36</v>
      </c>
      <c r="L50" s="2">
        <v>36</v>
      </c>
      <c r="M50" s="11">
        <f t="shared" si="29"/>
        <v>0</v>
      </c>
      <c r="N50" s="3">
        <v>2E-3</v>
      </c>
      <c r="O50" s="2">
        <v>36</v>
      </c>
      <c r="P50" s="11">
        <f t="shared" si="30"/>
        <v>0</v>
      </c>
      <c r="Q50" s="3">
        <v>4.0000001899898052E-3</v>
      </c>
    </row>
    <row r="51" spans="1:17" x14ac:dyDescent="0.35">
      <c r="A51" t="s">
        <v>6</v>
      </c>
      <c r="B51" s="4">
        <f t="shared" si="25"/>
        <v>42</v>
      </c>
      <c r="C51" s="2">
        <v>42</v>
      </c>
      <c r="D51" s="11">
        <f t="shared" si="26"/>
        <v>0</v>
      </c>
      <c r="E51" s="3">
        <v>5.0000000000000001E-3</v>
      </c>
      <c r="F51" s="2">
        <v>42</v>
      </c>
      <c r="G51" s="1">
        <f t="shared" si="27"/>
        <v>0</v>
      </c>
      <c r="H51" s="3">
        <v>3.0000000260770321E-3</v>
      </c>
      <c r="J51" s="12" t="s">
        <v>6</v>
      </c>
      <c r="K51" s="4">
        <f t="shared" si="28"/>
        <v>42</v>
      </c>
      <c r="L51" s="2">
        <v>42</v>
      </c>
      <c r="M51" s="11">
        <f t="shared" si="29"/>
        <v>0</v>
      </c>
      <c r="N51" s="3">
        <v>5.0000000000000001E-3</v>
      </c>
      <c r="O51" s="2">
        <v>42</v>
      </c>
      <c r="P51" s="11">
        <f t="shared" si="30"/>
        <v>0</v>
      </c>
      <c r="Q51" s="3">
        <v>3.0000000260770321E-3</v>
      </c>
    </row>
    <row r="52" spans="1:17" x14ac:dyDescent="0.35">
      <c r="A52" t="s">
        <v>7</v>
      </c>
      <c r="B52" s="4">
        <f t="shared" si="25"/>
        <v>91</v>
      </c>
      <c r="C52" s="2">
        <v>91</v>
      </c>
      <c r="D52" s="11">
        <f t="shared" si="26"/>
        <v>0</v>
      </c>
      <c r="E52" s="3">
        <v>3.0999999E-2</v>
      </c>
      <c r="F52" s="2">
        <v>91</v>
      </c>
      <c r="G52" s="1">
        <f t="shared" si="27"/>
        <v>0</v>
      </c>
      <c r="H52" s="3">
        <v>1.7000000923871994E-2</v>
      </c>
      <c r="J52" s="12" t="s">
        <v>7</v>
      </c>
      <c r="K52" s="4">
        <f t="shared" si="28"/>
        <v>91</v>
      </c>
      <c r="L52" s="2">
        <v>91</v>
      </c>
      <c r="M52" s="11">
        <f t="shared" si="29"/>
        <v>0</v>
      </c>
      <c r="N52" s="3">
        <v>3.0999999E-2</v>
      </c>
      <c r="O52" s="2">
        <v>91</v>
      </c>
      <c r="P52" s="11">
        <f t="shared" si="30"/>
        <v>0</v>
      </c>
      <c r="Q52" s="3">
        <v>1.7000000923871994E-2</v>
      </c>
    </row>
    <row r="53" spans="1:17" x14ac:dyDescent="0.35">
      <c r="A53" t="s">
        <v>8</v>
      </c>
      <c r="B53" s="4">
        <f t="shared" si="25"/>
        <v>180</v>
      </c>
      <c r="C53" s="2">
        <v>180</v>
      </c>
      <c r="D53" s="11">
        <f t="shared" si="26"/>
        <v>0</v>
      </c>
      <c r="E53" s="3">
        <v>0.68599999</v>
      </c>
      <c r="F53" s="2">
        <v>183</v>
      </c>
      <c r="G53" s="1">
        <f t="shared" si="27"/>
        <v>1.6666666666666666E-2</v>
      </c>
      <c r="H53" s="3">
        <v>0.33500000834465027</v>
      </c>
      <c r="J53" s="12" t="s">
        <v>8</v>
      </c>
      <c r="K53" s="4">
        <f t="shared" si="28"/>
        <v>180</v>
      </c>
      <c r="L53" s="2">
        <v>180</v>
      </c>
      <c r="M53" s="11">
        <f t="shared" si="29"/>
        <v>0</v>
      </c>
      <c r="N53" s="3">
        <v>0.68599999</v>
      </c>
      <c r="O53" s="2">
        <v>181</v>
      </c>
      <c r="P53" s="11">
        <f t="shared" si="30"/>
        <v>5.5555555555555558E-3</v>
      </c>
      <c r="Q53" s="3">
        <v>0.33500000834465027</v>
      </c>
    </row>
    <row r="54" spans="1:17" x14ac:dyDescent="0.35">
      <c r="A54" t="s">
        <v>9</v>
      </c>
      <c r="B54" s="4">
        <f t="shared" si="25"/>
        <v>369</v>
      </c>
      <c r="C54" s="2">
        <v>369</v>
      </c>
      <c r="D54" s="11">
        <f t="shared" si="26"/>
        <v>0</v>
      </c>
      <c r="E54" s="3">
        <v>0.76899999399999996</v>
      </c>
      <c r="F54" s="2">
        <v>371</v>
      </c>
      <c r="G54" s="1">
        <f t="shared" si="27"/>
        <v>5.4200542005420054E-3</v>
      </c>
      <c r="H54" s="3">
        <v>0.335999995470047</v>
      </c>
      <c r="J54" s="12" t="s">
        <v>9</v>
      </c>
      <c r="K54" s="4">
        <f t="shared" si="28"/>
        <v>369</v>
      </c>
      <c r="L54" s="2">
        <v>369</v>
      </c>
      <c r="M54" s="11">
        <f t="shared" si="29"/>
        <v>0</v>
      </c>
      <c r="N54" s="3">
        <v>0.76899999399999996</v>
      </c>
      <c r="O54" s="2">
        <v>371</v>
      </c>
      <c r="P54" s="11">
        <f t="shared" si="30"/>
        <v>5.4200542005420054E-3</v>
      </c>
      <c r="Q54" s="3">
        <v>0.335999995470047</v>
      </c>
    </row>
    <row r="55" spans="1:17" x14ac:dyDescent="0.35">
      <c r="A55" t="s">
        <v>10</v>
      </c>
      <c r="B55" s="4">
        <f t="shared" si="25"/>
        <v>18</v>
      </c>
      <c r="C55" s="2">
        <v>18</v>
      </c>
      <c r="D55" s="11">
        <f t="shared" si="26"/>
        <v>0</v>
      </c>
      <c r="E55" s="3">
        <v>2.1999999999999999E-2</v>
      </c>
      <c r="F55" s="2">
        <v>18</v>
      </c>
      <c r="G55" s="1">
        <f t="shared" si="27"/>
        <v>0</v>
      </c>
      <c r="H55" s="3">
        <v>2.9999999329447746E-2</v>
      </c>
      <c r="J55" s="12" t="s">
        <v>10</v>
      </c>
      <c r="K55" s="4">
        <f t="shared" si="28"/>
        <v>18</v>
      </c>
      <c r="L55" s="2">
        <v>18</v>
      </c>
      <c r="M55" s="11">
        <f t="shared" si="29"/>
        <v>0</v>
      </c>
      <c r="N55" s="3">
        <v>2.1999999999999999E-2</v>
      </c>
      <c r="O55" s="2">
        <v>18</v>
      </c>
      <c r="P55" s="11">
        <f t="shared" si="30"/>
        <v>0</v>
      </c>
      <c r="Q55" s="3">
        <v>2.9999999329447746E-2</v>
      </c>
    </row>
    <row r="56" spans="1:17" x14ac:dyDescent="0.35">
      <c r="A56" t="s">
        <v>11</v>
      </c>
      <c r="B56" s="4">
        <f t="shared" si="25"/>
        <v>36</v>
      </c>
      <c r="C56" s="2">
        <v>36</v>
      </c>
      <c r="D56" s="11">
        <f t="shared" si="26"/>
        <v>0</v>
      </c>
      <c r="E56" s="3">
        <v>3.5000000000000003E-2</v>
      </c>
      <c r="F56" s="2">
        <v>36</v>
      </c>
      <c r="G56" s="1">
        <f t="shared" si="27"/>
        <v>0</v>
      </c>
      <c r="H56" s="3">
        <v>2.8999999165534973E-2</v>
      </c>
      <c r="J56" s="12" t="s">
        <v>11</v>
      </c>
      <c r="K56" s="4">
        <f t="shared" si="28"/>
        <v>36</v>
      </c>
      <c r="L56" s="2">
        <v>36</v>
      </c>
      <c r="M56" s="11">
        <f t="shared" si="29"/>
        <v>0</v>
      </c>
      <c r="N56" s="3">
        <v>3.5000000000000003E-2</v>
      </c>
      <c r="O56" s="2">
        <v>36</v>
      </c>
      <c r="P56" s="11">
        <f t="shared" si="30"/>
        <v>0</v>
      </c>
      <c r="Q56" s="3">
        <v>2.8999999165534973E-2</v>
      </c>
    </row>
    <row r="57" spans="1:17" x14ac:dyDescent="0.35">
      <c r="A57" t="s">
        <v>12</v>
      </c>
      <c r="B57" s="4">
        <f t="shared" si="25"/>
        <v>57</v>
      </c>
      <c r="C57" s="2">
        <v>57</v>
      </c>
      <c r="D57" s="11">
        <f t="shared" si="26"/>
        <v>0</v>
      </c>
      <c r="E57" s="3">
        <v>0.105999999</v>
      </c>
      <c r="F57" s="2">
        <v>57</v>
      </c>
      <c r="G57" s="1">
        <f t="shared" si="27"/>
        <v>0</v>
      </c>
      <c r="H57" s="3">
        <v>7.9999998211860657E-2</v>
      </c>
      <c r="J57" s="12" t="s">
        <v>12</v>
      </c>
      <c r="K57" s="4">
        <f t="shared" si="28"/>
        <v>57</v>
      </c>
      <c r="L57" s="2">
        <v>57</v>
      </c>
      <c r="M57" s="11">
        <f t="shared" si="29"/>
        <v>0</v>
      </c>
      <c r="N57" s="3">
        <v>0.105999999</v>
      </c>
      <c r="O57" s="2">
        <v>57</v>
      </c>
      <c r="P57" s="11">
        <f t="shared" si="30"/>
        <v>0</v>
      </c>
      <c r="Q57" s="3">
        <v>7.9999998211860657E-2</v>
      </c>
    </row>
    <row r="58" spans="1:17" x14ac:dyDescent="0.35">
      <c r="A58" t="s">
        <v>13</v>
      </c>
      <c r="B58" s="4">
        <f t="shared" si="25"/>
        <v>66</v>
      </c>
      <c r="C58" s="2">
        <v>66</v>
      </c>
      <c r="D58" s="11">
        <f t="shared" si="26"/>
        <v>0</v>
      </c>
      <c r="E58" s="3">
        <v>0.101000004</v>
      </c>
      <c r="F58" s="2">
        <v>69</v>
      </c>
      <c r="G58" s="1">
        <f t="shared" si="27"/>
        <v>4.5454545454545456E-2</v>
      </c>
      <c r="H58" s="3">
        <v>7.0000000298023224E-2</v>
      </c>
      <c r="J58" s="12" t="s">
        <v>13</v>
      </c>
      <c r="K58" s="4">
        <f t="shared" si="28"/>
        <v>66</v>
      </c>
      <c r="L58" s="2">
        <v>66</v>
      </c>
      <c r="M58" s="11">
        <f t="shared" si="29"/>
        <v>0</v>
      </c>
      <c r="N58" s="3">
        <v>0.101000004</v>
      </c>
      <c r="O58" s="2">
        <v>69</v>
      </c>
      <c r="P58" s="11">
        <f t="shared" si="30"/>
        <v>4.5454545454545456E-2</v>
      </c>
      <c r="Q58" s="3">
        <v>7.0000000298023224E-2</v>
      </c>
    </row>
    <row r="59" spans="1:17" x14ac:dyDescent="0.35">
      <c r="A59" t="s">
        <v>14</v>
      </c>
      <c r="B59" s="4">
        <f t="shared" si="25"/>
        <v>12</v>
      </c>
      <c r="C59" s="2">
        <v>12</v>
      </c>
      <c r="D59" s="11">
        <f t="shared" si="26"/>
        <v>0</v>
      </c>
      <c r="E59" s="3">
        <v>7.0000000000000001E-3</v>
      </c>
      <c r="F59" s="2">
        <v>12</v>
      </c>
      <c r="G59" s="1">
        <f t="shared" si="27"/>
        <v>0</v>
      </c>
      <c r="H59" s="3">
        <v>6.0000000521540642E-3</v>
      </c>
      <c r="J59" s="12" t="s">
        <v>14</v>
      </c>
      <c r="K59" s="4">
        <f t="shared" si="28"/>
        <v>12</v>
      </c>
      <c r="L59" s="2">
        <v>12</v>
      </c>
      <c r="M59" s="11">
        <f t="shared" si="29"/>
        <v>0</v>
      </c>
      <c r="N59" s="3">
        <v>7.0000000000000001E-3</v>
      </c>
      <c r="O59" s="2">
        <v>12</v>
      </c>
      <c r="P59" s="11">
        <f t="shared" si="30"/>
        <v>0</v>
      </c>
      <c r="Q59" s="3">
        <v>6.0000000521540642E-3</v>
      </c>
    </row>
    <row r="60" spans="1:17" x14ac:dyDescent="0.35">
      <c r="A60" t="s">
        <v>15</v>
      </c>
      <c r="B60" s="4">
        <f t="shared" si="25"/>
        <v>18</v>
      </c>
      <c r="C60" s="2">
        <v>18</v>
      </c>
      <c r="D60" s="11">
        <f t="shared" si="26"/>
        <v>0</v>
      </c>
      <c r="E60" s="3">
        <v>1.6000001E-2</v>
      </c>
      <c r="F60" s="2">
        <v>18</v>
      </c>
      <c r="G60" s="1">
        <f t="shared" si="27"/>
        <v>0</v>
      </c>
      <c r="H60" s="3">
        <v>1.2000000104308128E-2</v>
      </c>
      <c r="J60" s="12" t="s">
        <v>15</v>
      </c>
      <c r="K60" s="4">
        <f t="shared" si="28"/>
        <v>18</v>
      </c>
      <c r="L60" s="2">
        <v>18</v>
      </c>
      <c r="M60" s="11">
        <f t="shared" si="29"/>
        <v>0</v>
      </c>
      <c r="N60" s="3">
        <v>1.6000001E-2</v>
      </c>
      <c r="O60" s="2">
        <v>18</v>
      </c>
      <c r="P60" s="11">
        <f t="shared" si="30"/>
        <v>0</v>
      </c>
      <c r="Q60" s="3">
        <v>1.2000000104308128E-2</v>
      </c>
    </row>
    <row r="61" spans="1:17" x14ac:dyDescent="0.35">
      <c r="A61" t="s">
        <v>16</v>
      </c>
      <c r="B61" s="4">
        <f t="shared" si="25"/>
        <v>46</v>
      </c>
      <c r="C61" s="2">
        <v>46</v>
      </c>
      <c r="D61" s="11">
        <f t="shared" si="26"/>
        <v>0</v>
      </c>
      <c r="E61" s="3">
        <v>1.6000001E-2</v>
      </c>
      <c r="F61" s="2">
        <v>46</v>
      </c>
      <c r="G61" s="1">
        <f t="shared" si="27"/>
        <v>0</v>
      </c>
      <c r="H61" s="3">
        <v>1.7000000923871994E-2</v>
      </c>
      <c r="J61" s="12" t="s">
        <v>16</v>
      </c>
      <c r="K61" s="4">
        <f t="shared" si="28"/>
        <v>45</v>
      </c>
      <c r="L61" s="2">
        <v>46</v>
      </c>
      <c r="M61" s="11">
        <f t="shared" si="29"/>
        <v>2.2222222222222223E-2</v>
      </c>
      <c r="N61" s="3">
        <v>1.6000001E-2</v>
      </c>
      <c r="O61" s="2">
        <v>45</v>
      </c>
      <c r="P61" s="11">
        <f t="shared" si="30"/>
        <v>0</v>
      </c>
      <c r="Q61" s="3">
        <v>1.7000000923871994E-2</v>
      </c>
    </row>
    <row r="62" spans="1:17" x14ac:dyDescent="0.35">
      <c r="A62" t="s">
        <v>17</v>
      </c>
      <c r="B62" s="4">
        <f t="shared" si="25"/>
        <v>23</v>
      </c>
      <c r="C62" s="2">
        <v>23</v>
      </c>
      <c r="D62" s="11">
        <f t="shared" si="26"/>
        <v>0</v>
      </c>
      <c r="E62" s="3">
        <v>4.3000001000000003E-2</v>
      </c>
      <c r="F62" s="2">
        <v>23</v>
      </c>
      <c r="G62" s="1">
        <f t="shared" si="27"/>
        <v>0</v>
      </c>
      <c r="H62" s="3">
        <v>2.500000037252903E-2</v>
      </c>
      <c r="J62" s="12" t="s">
        <v>17</v>
      </c>
      <c r="K62" s="4">
        <f t="shared" si="28"/>
        <v>23</v>
      </c>
      <c r="L62" s="2">
        <v>23</v>
      </c>
      <c r="M62" s="11">
        <f t="shared" si="29"/>
        <v>0</v>
      </c>
      <c r="N62" s="3">
        <v>4.3000001000000003E-2</v>
      </c>
      <c r="O62" s="2">
        <v>23</v>
      </c>
      <c r="P62" s="11">
        <f t="shared" si="30"/>
        <v>0</v>
      </c>
      <c r="Q62" s="3">
        <v>2.500000037252903E-2</v>
      </c>
    </row>
    <row r="63" spans="1:17" x14ac:dyDescent="0.35">
      <c r="A63" t="s">
        <v>18</v>
      </c>
      <c r="B63" s="4">
        <f t="shared" si="25"/>
        <v>78</v>
      </c>
      <c r="C63" s="2">
        <v>78</v>
      </c>
      <c r="D63" s="11">
        <f t="shared" si="26"/>
        <v>0</v>
      </c>
      <c r="E63" s="3">
        <v>0.25299999099999998</v>
      </c>
      <c r="F63" s="2">
        <v>78</v>
      </c>
      <c r="G63" s="1">
        <f t="shared" si="27"/>
        <v>0</v>
      </c>
      <c r="H63" s="3">
        <v>0.16200000047683716</v>
      </c>
      <c r="J63" s="12" t="s">
        <v>18</v>
      </c>
      <c r="K63" s="4">
        <f t="shared" si="28"/>
        <v>78</v>
      </c>
      <c r="L63" s="2">
        <v>78</v>
      </c>
      <c r="M63" s="11">
        <f t="shared" si="29"/>
        <v>0</v>
      </c>
      <c r="N63" s="3">
        <v>0.25299999099999998</v>
      </c>
      <c r="O63" s="2">
        <v>80</v>
      </c>
      <c r="P63" s="11">
        <f t="shared" si="30"/>
        <v>2.564102564102564E-2</v>
      </c>
      <c r="Q63" s="3">
        <v>0.16200000047683716</v>
      </c>
    </row>
    <row r="64" spans="1:17" x14ac:dyDescent="0.35">
      <c r="A64" t="s">
        <v>19</v>
      </c>
      <c r="B64" s="4">
        <f t="shared" si="25"/>
        <v>87</v>
      </c>
      <c r="C64" s="2">
        <v>87</v>
      </c>
      <c r="D64" s="11">
        <f t="shared" si="26"/>
        <v>0</v>
      </c>
      <c r="E64" s="3">
        <v>0.54199999600000004</v>
      </c>
      <c r="F64" s="2">
        <v>87</v>
      </c>
      <c r="G64" s="1">
        <f t="shared" si="27"/>
        <v>0</v>
      </c>
      <c r="H64" s="3">
        <v>0.39500001072883606</v>
      </c>
      <c r="J64" s="12" t="s">
        <v>19</v>
      </c>
      <c r="K64" s="4">
        <f t="shared" si="28"/>
        <v>87</v>
      </c>
      <c r="L64" s="2">
        <v>87</v>
      </c>
      <c r="M64" s="11">
        <f t="shared" si="29"/>
        <v>0</v>
      </c>
      <c r="N64" s="3">
        <v>0.54199999600000004</v>
      </c>
      <c r="O64" s="2">
        <v>88</v>
      </c>
      <c r="P64" s="11">
        <f t="shared" si="30"/>
        <v>1.1494252873563218E-2</v>
      </c>
      <c r="Q64" s="3">
        <v>0.39500001072883606</v>
      </c>
    </row>
    <row r="65" spans="1:17" x14ac:dyDescent="0.35">
      <c r="A65" t="s">
        <v>20</v>
      </c>
      <c r="B65" s="4">
        <f t="shared" si="25"/>
        <v>91</v>
      </c>
      <c r="C65" s="2">
        <v>91</v>
      </c>
      <c r="D65" s="11">
        <f t="shared" si="26"/>
        <v>0</v>
      </c>
      <c r="E65" s="3">
        <v>0.36300000500000001</v>
      </c>
      <c r="F65" s="2">
        <v>91</v>
      </c>
      <c r="G65" s="1">
        <f t="shared" si="27"/>
        <v>0</v>
      </c>
      <c r="H65" s="3">
        <v>0.15199999511241913</v>
      </c>
      <c r="J65" s="12" t="s">
        <v>20</v>
      </c>
      <c r="K65" s="4">
        <f t="shared" si="28"/>
        <v>91</v>
      </c>
      <c r="L65" s="2">
        <v>91</v>
      </c>
      <c r="M65" s="11">
        <f t="shared" si="29"/>
        <v>0</v>
      </c>
      <c r="N65" s="3">
        <v>0.36300000500000001</v>
      </c>
      <c r="O65" s="2">
        <v>91</v>
      </c>
      <c r="P65" s="11">
        <f t="shared" si="30"/>
        <v>0</v>
      </c>
      <c r="Q65" s="3">
        <v>0.15199999511241913</v>
      </c>
    </row>
    <row r="66" spans="1:17" x14ac:dyDescent="0.35">
      <c r="A66" t="s">
        <v>21</v>
      </c>
      <c r="B66" s="4">
        <f t="shared" si="25"/>
        <v>157</v>
      </c>
      <c r="C66" s="2">
        <v>157</v>
      </c>
      <c r="D66" s="11">
        <f t="shared" si="26"/>
        <v>0</v>
      </c>
      <c r="E66" s="3">
        <v>1.307000041</v>
      </c>
      <c r="F66" s="2">
        <v>160</v>
      </c>
      <c r="G66" s="1">
        <f t="shared" si="27"/>
        <v>1.9108280254777069E-2</v>
      </c>
      <c r="H66" s="3">
        <v>0.27099999785423279</v>
      </c>
      <c r="J66" s="12" t="s">
        <v>21</v>
      </c>
      <c r="K66" s="4">
        <f t="shared" si="28"/>
        <v>157</v>
      </c>
      <c r="L66" s="2">
        <v>157</v>
      </c>
      <c r="M66" s="11">
        <f t="shared" si="29"/>
        <v>0</v>
      </c>
      <c r="N66" s="3">
        <v>1.307000041</v>
      </c>
      <c r="O66" s="2">
        <v>161</v>
      </c>
      <c r="P66" s="11">
        <f t="shared" si="30"/>
        <v>2.5477707006369428E-2</v>
      </c>
      <c r="Q66" s="3">
        <v>0.27099999785423279</v>
      </c>
    </row>
    <row r="67" spans="1:17" x14ac:dyDescent="0.35">
      <c r="A67" t="s">
        <v>22</v>
      </c>
      <c r="B67" s="4">
        <f t="shared" si="25"/>
        <v>43</v>
      </c>
      <c r="C67" s="2">
        <v>43</v>
      </c>
      <c r="D67" s="11">
        <f t="shared" si="26"/>
        <v>0</v>
      </c>
      <c r="E67" s="3">
        <v>8.9999999999999993E-3</v>
      </c>
      <c r="F67" s="2">
        <v>44</v>
      </c>
      <c r="G67" s="1">
        <f t="shared" si="27"/>
        <v>2.3255813953488372E-2</v>
      </c>
      <c r="H67" s="3">
        <v>6.0000000521540642E-3</v>
      </c>
      <c r="J67" s="12" t="s">
        <v>22</v>
      </c>
      <c r="K67" s="4">
        <f t="shared" si="28"/>
        <v>43</v>
      </c>
      <c r="L67" s="2">
        <v>43</v>
      </c>
      <c r="M67" s="11">
        <f t="shared" si="29"/>
        <v>0</v>
      </c>
      <c r="N67" s="3">
        <v>8.9999999999999993E-3</v>
      </c>
      <c r="O67" s="2">
        <v>43</v>
      </c>
      <c r="P67" s="11">
        <f t="shared" si="30"/>
        <v>0</v>
      </c>
      <c r="Q67" s="3">
        <v>6.0000000521540642E-3</v>
      </c>
    </row>
    <row r="68" spans="1:17" x14ac:dyDescent="0.35">
      <c r="A68" t="s">
        <v>23</v>
      </c>
      <c r="B68" s="4">
        <f t="shared" si="25"/>
        <v>39</v>
      </c>
      <c r="C68" s="2">
        <v>41</v>
      </c>
      <c r="D68" s="11">
        <f t="shared" si="26"/>
        <v>5.128205128205128E-2</v>
      </c>
      <c r="E68" s="3">
        <v>2.8000001E-2</v>
      </c>
      <c r="F68" s="2">
        <v>39</v>
      </c>
      <c r="G68" s="1">
        <f t="shared" si="27"/>
        <v>0</v>
      </c>
      <c r="H68" s="3">
        <v>9.9999997764825821E-3</v>
      </c>
      <c r="J68" s="12" t="s">
        <v>23</v>
      </c>
      <c r="K68" s="4">
        <f t="shared" si="28"/>
        <v>41</v>
      </c>
      <c r="L68" s="2">
        <v>41</v>
      </c>
      <c r="M68" s="11">
        <f t="shared" si="29"/>
        <v>0</v>
      </c>
      <c r="N68" s="3">
        <v>2.8000001E-2</v>
      </c>
      <c r="O68" s="2">
        <v>43</v>
      </c>
      <c r="P68" s="11">
        <f t="shared" si="30"/>
        <v>4.878048780487805E-2</v>
      </c>
      <c r="Q68" s="3">
        <v>9.9999997764825821E-3</v>
      </c>
    </row>
    <row r="69" spans="1:17" x14ac:dyDescent="0.35">
      <c r="A69" t="s">
        <v>24</v>
      </c>
      <c r="B69" s="4">
        <f t="shared" si="25"/>
        <v>70</v>
      </c>
      <c r="C69" s="2">
        <v>70</v>
      </c>
      <c r="D69" s="11">
        <f t="shared" si="26"/>
        <v>0</v>
      </c>
      <c r="E69" s="3">
        <v>8.0000000000000002E-3</v>
      </c>
      <c r="F69" s="2">
        <v>70</v>
      </c>
      <c r="G69" s="1">
        <f t="shared" si="27"/>
        <v>0</v>
      </c>
      <c r="H69" s="3">
        <v>4.999999888241291E-3</v>
      </c>
      <c r="J69" s="12" t="s">
        <v>24</v>
      </c>
      <c r="K69" s="4">
        <f t="shared" si="28"/>
        <v>70</v>
      </c>
      <c r="L69" s="2">
        <v>70</v>
      </c>
      <c r="M69" s="11">
        <f t="shared" si="29"/>
        <v>0</v>
      </c>
      <c r="N69" s="3">
        <v>8.0000000000000002E-3</v>
      </c>
      <c r="O69" s="2">
        <v>70</v>
      </c>
      <c r="P69" s="11">
        <f t="shared" si="30"/>
        <v>0</v>
      </c>
      <c r="Q69" s="3">
        <v>4.999999888241291E-3</v>
      </c>
    </row>
    <row r="70" spans="1:17" x14ac:dyDescent="0.35">
      <c r="A70" t="s">
        <v>25</v>
      </c>
      <c r="B70" s="4">
        <f t="shared" si="25"/>
        <v>45</v>
      </c>
      <c r="C70" s="2">
        <v>45</v>
      </c>
      <c r="D70" s="11">
        <f t="shared" si="26"/>
        <v>0</v>
      </c>
      <c r="E70" s="3">
        <v>9.1999999999999998E-2</v>
      </c>
      <c r="F70" s="2">
        <v>45</v>
      </c>
      <c r="G70" s="1">
        <f t="shared" si="27"/>
        <v>0</v>
      </c>
      <c r="H70" s="3">
        <v>2.199999988079071E-2</v>
      </c>
      <c r="J70" s="12" t="s">
        <v>25</v>
      </c>
      <c r="K70" s="4">
        <f t="shared" si="28"/>
        <v>45</v>
      </c>
      <c r="L70" s="2">
        <v>45</v>
      </c>
      <c r="M70" s="11">
        <f t="shared" si="29"/>
        <v>0</v>
      </c>
      <c r="N70" s="3">
        <v>9.1999999999999998E-2</v>
      </c>
      <c r="O70" s="2">
        <v>45</v>
      </c>
      <c r="P70" s="11">
        <f t="shared" si="30"/>
        <v>0</v>
      </c>
      <c r="Q70" s="3">
        <v>2.199999988079071E-2</v>
      </c>
    </row>
    <row r="71" spans="1:17" x14ac:dyDescent="0.35">
      <c r="A71" t="s">
        <v>26</v>
      </c>
      <c r="B71" s="4">
        <f t="shared" si="25"/>
        <v>84</v>
      </c>
      <c r="C71" s="2">
        <v>84</v>
      </c>
      <c r="D71" s="11">
        <f t="shared" si="26"/>
        <v>0</v>
      </c>
      <c r="E71" s="3">
        <v>0.187000006</v>
      </c>
      <c r="F71" s="2">
        <v>84</v>
      </c>
      <c r="G71" s="1">
        <f t="shared" si="27"/>
        <v>0</v>
      </c>
      <c r="H71" s="3">
        <v>6.8000003695487976E-2</v>
      </c>
      <c r="J71" s="12" t="s">
        <v>26</v>
      </c>
      <c r="K71" s="4">
        <f t="shared" si="28"/>
        <v>84</v>
      </c>
      <c r="L71" s="2">
        <v>84</v>
      </c>
      <c r="M71" s="11">
        <f t="shared" si="29"/>
        <v>0</v>
      </c>
      <c r="N71" s="3">
        <v>0.187000006</v>
      </c>
      <c r="O71" s="2">
        <v>84</v>
      </c>
      <c r="P71" s="11">
        <f t="shared" si="30"/>
        <v>0</v>
      </c>
      <c r="Q71" s="3">
        <v>6.8000003695487976E-2</v>
      </c>
    </row>
    <row r="72" spans="1:17" x14ac:dyDescent="0.35">
      <c r="A72" t="s">
        <v>27</v>
      </c>
      <c r="B72" s="4">
        <f t="shared" si="25"/>
        <v>6</v>
      </c>
      <c r="C72" s="2">
        <v>6</v>
      </c>
      <c r="D72" s="11">
        <f t="shared" si="26"/>
        <v>0</v>
      </c>
      <c r="E72" s="3">
        <v>8.2999997000000006E-2</v>
      </c>
      <c r="F72" s="2">
        <v>6</v>
      </c>
      <c r="G72" s="1">
        <f t="shared" si="27"/>
        <v>0</v>
      </c>
      <c r="H72" s="3">
        <v>4.8999998718500137E-2</v>
      </c>
      <c r="J72" s="12" t="s">
        <v>27</v>
      </c>
      <c r="K72" s="4">
        <f t="shared" si="28"/>
        <v>6</v>
      </c>
      <c r="L72" s="2">
        <v>6</v>
      </c>
      <c r="M72" s="11">
        <f t="shared" si="29"/>
        <v>0</v>
      </c>
      <c r="N72" s="3">
        <v>8.2999997000000006E-2</v>
      </c>
      <c r="O72" s="2">
        <v>6</v>
      </c>
      <c r="P72" s="11">
        <f t="shared" si="30"/>
        <v>0</v>
      </c>
      <c r="Q72" s="3">
        <v>4.8999998718500137E-2</v>
      </c>
    </row>
    <row r="73" spans="1:17" x14ac:dyDescent="0.35">
      <c r="A73" t="s">
        <v>28</v>
      </c>
      <c r="B73" s="4">
        <f t="shared" si="25"/>
        <v>59</v>
      </c>
      <c r="C73" s="2">
        <v>59</v>
      </c>
      <c r="D73" s="11">
        <f t="shared" si="26"/>
        <v>0</v>
      </c>
      <c r="E73" s="3">
        <v>0.26499998600000002</v>
      </c>
      <c r="F73" s="2">
        <v>59</v>
      </c>
      <c r="G73" s="1">
        <f t="shared" si="27"/>
        <v>0</v>
      </c>
      <c r="H73" s="3">
        <v>0.12300000339746475</v>
      </c>
      <c r="J73" s="12" t="s">
        <v>28</v>
      </c>
      <c r="K73" s="4">
        <f t="shared" si="28"/>
        <v>59</v>
      </c>
      <c r="L73" s="2">
        <v>59</v>
      </c>
      <c r="M73" s="11">
        <f t="shared" si="29"/>
        <v>0</v>
      </c>
      <c r="N73" s="3">
        <v>0.26499998600000002</v>
      </c>
      <c r="O73" s="2">
        <v>59</v>
      </c>
      <c r="P73" s="11">
        <f t="shared" si="30"/>
        <v>0</v>
      </c>
      <c r="Q73" s="3">
        <v>0.12300000339746475</v>
      </c>
    </row>
    <row r="74" spans="1:17" x14ac:dyDescent="0.35">
      <c r="A74" t="s">
        <v>29</v>
      </c>
      <c r="B74" s="4">
        <f t="shared" si="25"/>
        <v>19</v>
      </c>
      <c r="C74" s="2">
        <v>19</v>
      </c>
      <c r="D74" s="11">
        <f t="shared" si="26"/>
        <v>0</v>
      </c>
      <c r="E74" s="3">
        <v>0.01</v>
      </c>
      <c r="F74" s="2">
        <v>19</v>
      </c>
      <c r="G74" s="1">
        <f t="shared" si="27"/>
        <v>0</v>
      </c>
      <c r="H74" s="3">
        <v>1.2000000104308128E-2</v>
      </c>
      <c r="J74" s="12" t="s">
        <v>29</v>
      </c>
      <c r="K74" s="4">
        <f t="shared" si="28"/>
        <v>19</v>
      </c>
      <c r="L74" s="2">
        <v>19</v>
      </c>
      <c r="M74" s="11">
        <f t="shared" si="29"/>
        <v>0</v>
      </c>
      <c r="N74" s="3">
        <v>0.01</v>
      </c>
      <c r="O74" s="2">
        <v>19</v>
      </c>
      <c r="P74" s="11">
        <f t="shared" si="30"/>
        <v>0</v>
      </c>
      <c r="Q74" s="3">
        <v>1.2000000104308128E-2</v>
      </c>
    </row>
    <row r="75" spans="1:17" x14ac:dyDescent="0.35">
      <c r="A75" t="s">
        <v>30</v>
      </c>
      <c r="B75" s="4">
        <f t="shared" si="25"/>
        <v>25</v>
      </c>
      <c r="C75" s="2">
        <v>25</v>
      </c>
      <c r="D75" s="11">
        <f t="shared" si="26"/>
        <v>0</v>
      </c>
      <c r="E75" s="3">
        <v>5.9999998999999998E-2</v>
      </c>
      <c r="F75" s="2">
        <v>25</v>
      </c>
      <c r="G75" s="1">
        <f t="shared" si="27"/>
        <v>0</v>
      </c>
      <c r="H75" s="3">
        <v>0.11500000208616257</v>
      </c>
      <c r="J75" s="12" t="s">
        <v>30</v>
      </c>
      <c r="K75" s="4">
        <f t="shared" si="28"/>
        <v>25</v>
      </c>
      <c r="L75" s="2">
        <v>25</v>
      </c>
      <c r="M75" s="11">
        <f t="shared" si="29"/>
        <v>0</v>
      </c>
      <c r="N75" s="3">
        <v>5.9999998999999998E-2</v>
      </c>
      <c r="O75" s="2">
        <v>25</v>
      </c>
      <c r="P75" s="11">
        <f t="shared" si="30"/>
        <v>0</v>
      </c>
      <c r="Q75" s="3">
        <v>0.11500000208616257</v>
      </c>
    </row>
    <row r="76" spans="1:17" x14ac:dyDescent="0.35">
      <c r="A76" t="s">
        <v>31</v>
      </c>
      <c r="B76" s="4">
        <f t="shared" si="25"/>
        <v>71</v>
      </c>
      <c r="C76" s="2">
        <v>71</v>
      </c>
      <c r="D76" s="11">
        <f t="shared" si="26"/>
        <v>0</v>
      </c>
      <c r="E76" s="3">
        <v>0.189999998</v>
      </c>
      <c r="F76" s="2">
        <v>71</v>
      </c>
      <c r="G76" s="1">
        <f t="shared" si="27"/>
        <v>0</v>
      </c>
      <c r="H76" s="3">
        <v>9.6000000834465027E-2</v>
      </c>
      <c r="J76" s="12" t="s">
        <v>31</v>
      </c>
      <c r="K76" s="4">
        <f t="shared" si="28"/>
        <v>71</v>
      </c>
      <c r="L76" s="2">
        <v>71</v>
      </c>
      <c r="M76" s="11">
        <f t="shared" si="29"/>
        <v>0</v>
      </c>
      <c r="N76" s="3">
        <v>0.189999998</v>
      </c>
      <c r="O76" s="2">
        <v>71</v>
      </c>
      <c r="P76" s="11">
        <f t="shared" si="30"/>
        <v>0</v>
      </c>
      <c r="Q76" s="3">
        <v>9.6000000834465027E-2</v>
      </c>
    </row>
    <row r="77" spans="1:17" x14ac:dyDescent="0.35">
      <c r="A77" t="s">
        <v>32</v>
      </c>
      <c r="B77" s="4">
        <f t="shared" si="25"/>
        <v>3</v>
      </c>
      <c r="C77" s="2">
        <v>3</v>
      </c>
      <c r="D77" s="11">
        <f t="shared" si="26"/>
        <v>0</v>
      </c>
      <c r="E77" s="3">
        <v>2E-3</v>
      </c>
      <c r="F77" s="2">
        <v>3</v>
      </c>
      <c r="G77" s="1">
        <f t="shared" si="27"/>
        <v>0</v>
      </c>
      <c r="H77" s="3">
        <v>4.999999888241291E-3</v>
      </c>
      <c r="J77" s="12" t="s">
        <v>32</v>
      </c>
      <c r="K77" s="4">
        <f t="shared" si="28"/>
        <v>3</v>
      </c>
      <c r="L77" s="2">
        <v>3</v>
      </c>
      <c r="M77" s="11">
        <f t="shared" si="29"/>
        <v>0</v>
      </c>
      <c r="N77" s="3">
        <v>2E-3</v>
      </c>
      <c r="O77" s="2">
        <v>3</v>
      </c>
      <c r="P77" s="11">
        <f t="shared" si="30"/>
        <v>0</v>
      </c>
      <c r="Q77" s="3">
        <v>4.999999888241291E-3</v>
      </c>
    </row>
    <row r="78" spans="1:17" x14ac:dyDescent="0.35">
      <c r="A78" t="s">
        <v>33</v>
      </c>
      <c r="B78" s="4">
        <f t="shared" si="25"/>
        <v>3</v>
      </c>
      <c r="C78" s="2">
        <v>3</v>
      </c>
      <c r="D78" s="11">
        <f t="shared" si="26"/>
        <v>0</v>
      </c>
      <c r="E78" s="3">
        <v>5.0000000000000001E-3</v>
      </c>
      <c r="F78" s="2">
        <v>3</v>
      </c>
      <c r="G78" s="1">
        <f t="shared" si="27"/>
        <v>0</v>
      </c>
      <c r="H78" s="3">
        <v>9.9999997764825821E-3</v>
      </c>
      <c r="J78" s="12" t="s">
        <v>33</v>
      </c>
      <c r="K78" s="4">
        <f t="shared" si="28"/>
        <v>3</v>
      </c>
      <c r="L78" s="2">
        <v>3</v>
      </c>
      <c r="M78" s="11">
        <f t="shared" si="29"/>
        <v>0</v>
      </c>
      <c r="N78" s="3">
        <v>5.0000000000000001E-3</v>
      </c>
      <c r="O78" s="2">
        <v>3</v>
      </c>
      <c r="P78" s="11">
        <f t="shared" si="30"/>
        <v>0</v>
      </c>
      <c r="Q78" s="3">
        <v>9.9999997764825821E-3</v>
      </c>
    </row>
    <row r="79" spans="1:17" x14ac:dyDescent="0.35">
      <c r="A79" t="s">
        <v>34</v>
      </c>
      <c r="B79" s="4">
        <f t="shared" si="25"/>
        <v>135</v>
      </c>
      <c r="C79" s="2">
        <v>135</v>
      </c>
      <c r="D79" s="11">
        <f t="shared" si="26"/>
        <v>0</v>
      </c>
      <c r="E79" s="3">
        <v>0.375</v>
      </c>
      <c r="F79" s="2">
        <v>137</v>
      </c>
      <c r="G79" s="1">
        <f t="shared" si="27"/>
        <v>1.4814814814814815E-2</v>
      </c>
      <c r="H79" s="3">
        <v>0.18199999630451202</v>
      </c>
      <c r="J79" s="12" t="s">
        <v>34</v>
      </c>
      <c r="K79" s="4">
        <f t="shared" si="28"/>
        <v>135</v>
      </c>
      <c r="L79" s="2">
        <v>135</v>
      </c>
      <c r="M79" s="11">
        <f t="shared" si="29"/>
        <v>0</v>
      </c>
      <c r="N79" s="3">
        <v>0.375</v>
      </c>
      <c r="O79" s="2">
        <v>139</v>
      </c>
      <c r="P79" s="11">
        <f t="shared" si="30"/>
        <v>2.9629629629629631E-2</v>
      </c>
      <c r="Q79" s="3">
        <v>0.18199999630451202</v>
      </c>
    </row>
    <row r="80" spans="1:17" x14ac:dyDescent="0.35">
      <c r="A80" t="s">
        <v>35</v>
      </c>
      <c r="B80" s="4">
        <f t="shared" si="25"/>
        <v>63</v>
      </c>
      <c r="C80" s="2">
        <v>63</v>
      </c>
      <c r="D80" s="11">
        <f t="shared" si="26"/>
        <v>0</v>
      </c>
      <c r="E80" s="3">
        <v>9.3000001999999998E-2</v>
      </c>
      <c r="F80" s="2">
        <v>63</v>
      </c>
      <c r="G80" s="1">
        <f t="shared" si="27"/>
        <v>0</v>
      </c>
      <c r="H80" s="3">
        <v>5.000000074505806E-2</v>
      </c>
      <c r="J80" s="12" t="s">
        <v>35</v>
      </c>
      <c r="K80" s="4">
        <f t="shared" si="28"/>
        <v>61</v>
      </c>
      <c r="L80" s="2">
        <v>63</v>
      </c>
      <c r="M80" s="11">
        <f t="shared" si="29"/>
        <v>3.2786885245901641E-2</v>
      </c>
      <c r="N80" s="3">
        <v>9.3000001999999998E-2</v>
      </c>
      <c r="O80" s="2">
        <v>61</v>
      </c>
      <c r="P80" s="11">
        <f t="shared" si="30"/>
        <v>0</v>
      </c>
      <c r="Q80" s="3">
        <v>5.000000074505806E-2</v>
      </c>
    </row>
    <row r="81" spans="1:17" x14ac:dyDescent="0.35">
      <c r="A81" t="s">
        <v>36</v>
      </c>
      <c r="B81" s="4">
        <f t="shared" si="25"/>
        <v>11</v>
      </c>
      <c r="C81" s="2">
        <v>11</v>
      </c>
      <c r="D81" s="11">
        <f t="shared" si="26"/>
        <v>0</v>
      </c>
      <c r="E81" s="3">
        <v>3.3000000000000002E-2</v>
      </c>
      <c r="F81" s="2">
        <v>11</v>
      </c>
      <c r="G81" s="1">
        <f t="shared" si="27"/>
        <v>0</v>
      </c>
      <c r="H81" s="3">
        <v>3.0999999493360519E-2</v>
      </c>
      <c r="J81" s="12" t="s">
        <v>36</v>
      </c>
      <c r="K81" s="4">
        <f t="shared" si="28"/>
        <v>11</v>
      </c>
      <c r="L81" s="2">
        <v>11</v>
      </c>
      <c r="M81" s="11">
        <f t="shared" si="29"/>
        <v>0</v>
      </c>
      <c r="N81" s="3">
        <v>3.3000000000000002E-2</v>
      </c>
      <c r="O81" s="2">
        <v>11</v>
      </c>
      <c r="P81" s="11">
        <f t="shared" si="30"/>
        <v>0</v>
      </c>
      <c r="Q81" s="3">
        <v>3.0999999493360519E-2</v>
      </c>
    </row>
    <row r="82" spans="1:17" x14ac:dyDescent="0.35">
      <c r="A82" t="s">
        <v>37</v>
      </c>
      <c r="B82" s="4">
        <f t="shared" si="25"/>
        <v>2</v>
      </c>
      <c r="C82" s="2">
        <v>2</v>
      </c>
      <c r="D82" s="11">
        <f t="shared" si="26"/>
        <v>0</v>
      </c>
      <c r="E82" s="3">
        <v>6.0000000000000001E-3</v>
      </c>
      <c r="F82" s="2">
        <v>2</v>
      </c>
      <c r="G82" s="1">
        <f t="shared" si="27"/>
        <v>0</v>
      </c>
      <c r="H82" s="3">
        <v>8.0000003799796104E-3</v>
      </c>
      <c r="J82" s="12" t="s">
        <v>37</v>
      </c>
      <c r="K82" s="4">
        <f t="shared" si="28"/>
        <v>2</v>
      </c>
      <c r="L82" s="2">
        <v>2</v>
      </c>
      <c r="M82" s="11">
        <f t="shared" si="29"/>
        <v>0</v>
      </c>
      <c r="N82" s="3">
        <v>6.0000000000000001E-3</v>
      </c>
      <c r="O82" s="2">
        <v>2</v>
      </c>
      <c r="P82" s="11">
        <f t="shared" si="30"/>
        <v>0</v>
      </c>
      <c r="Q82" s="3">
        <v>8.0000003799796104E-3</v>
      </c>
    </row>
    <row r="83" spans="1:17" x14ac:dyDescent="0.35">
      <c r="A83" t="s">
        <v>38</v>
      </c>
      <c r="B83" s="4">
        <f t="shared" si="25"/>
        <v>92</v>
      </c>
      <c r="C83" s="2">
        <v>92</v>
      </c>
      <c r="D83" s="11">
        <f t="shared" si="26"/>
        <v>0</v>
      </c>
      <c r="E83" s="3">
        <v>0.61000001400000003</v>
      </c>
      <c r="F83" s="2">
        <v>93</v>
      </c>
      <c r="G83" s="1">
        <f t="shared" si="27"/>
        <v>1.0869565217391304E-2</v>
      </c>
      <c r="H83" s="3">
        <v>0.33300000429153442</v>
      </c>
      <c r="J83" s="12" t="s">
        <v>38</v>
      </c>
      <c r="K83" s="4">
        <f t="shared" si="28"/>
        <v>92</v>
      </c>
      <c r="L83" s="2">
        <v>92</v>
      </c>
      <c r="M83" s="11">
        <f t="shared" si="29"/>
        <v>0</v>
      </c>
      <c r="N83" s="3">
        <v>0.61000001400000003</v>
      </c>
      <c r="O83" s="2">
        <v>96</v>
      </c>
      <c r="P83" s="11">
        <f t="shared" si="30"/>
        <v>4.3478260869565216E-2</v>
      </c>
      <c r="Q83" s="3">
        <v>0.33300000429153442</v>
      </c>
    </row>
    <row r="84" spans="1:17" ht="15" thickBot="1" x14ac:dyDescent="0.4">
      <c r="A84" t="s">
        <v>39</v>
      </c>
      <c r="B84" s="4">
        <f t="shared" si="25"/>
        <v>20</v>
      </c>
      <c r="C84" s="2">
        <v>20</v>
      </c>
      <c r="D84" s="11">
        <f t="shared" si="26"/>
        <v>0</v>
      </c>
      <c r="E84" s="3">
        <v>3.4000002000000001E-2</v>
      </c>
      <c r="F84" s="2">
        <v>20</v>
      </c>
      <c r="G84" s="1">
        <f t="shared" si="27"/>
        <v>0</v>
      </c>
      <c r="H84" s="3">
        <v>2.3000000044703484E-2</v>
      </c>
      <c r="J84" s="13" t="s">
        <v>39</v>
      </c>
      <c r="K84" s="4">
        <f t="shared" si="28"/>
        <v>20</v>
      </c>
      <c r="L84" s="2">
        <v>20</v>
      </c>
      <c r="M84" s="11">
        <f t="shared" si="29"/>
        <v>0</v>
      </c>
      <c r="N84" s="3">
        <v>3.4000002000000001E-2</v>
      </c>
      <c r="O84" s="2">
        <v>20</v>
      </c>
      <c r="P84" s="11">
        <f t="shared" si="30"/>
        <v>0</v>
      </c>
      <c r="Q84" s="3">
        <v>2.3000000044703484E-2</v>
      </c>
    </row>
    <row r="85" spans="1:17" ht="15" thickBot="1" x14ac:dyDescent="0.4">
      <c r="C85" s="5">
        <f>AVERAGE(C46:C84)</f>
        <v>72.487179487179489</v>
      </c>
      <c r="D85" s="9">
        <f>AVERAGE(D46:D84)</f>
        <v>1.3149243918474686E-3</v>
      </c>
      <c r="E85" s="8">
        <f t="shared" ref="E85" si="31">AVERAGE(E46:E84)</f>
        <v>0.23889743738461547</v>
      </c>
      <c r="F85" s="5">
        <f t="shared" ref="F85" si="32">AVERAGE(F46:F84)</f>
        <v>72.948717948717942</v>
      </c>
      <c r="G85" s="9">
        <f>AVERAGE(G46:G84)</f>
        <v>3.9810912654915888E-3</v>
      </c>
      <c r="H85" s="8">
        <f t="shared" ref="H85" si="33">AVERAGE(H46:H84)</f>
        <v>0.12358974536451009</v>
      </c>
      <c r="L85" s="5">
        <f>AVERAGE(L46:L84)</f>
        <v>72.487179487179489</v>
      </c>
      <c r="M85" s="9">
        <f>AVERAGE(M46:M84)</f>
        <v>1.6172723999270801E-3</v>
      </c>
      <c r="N85" s="8">
        <f t="shared" ref="N85" si="34">AVERAGE(N46:N84)</f>
        <v>0.23889743738461547</v>
      </c>
      <c r="O85" s="5">
        <f t="shared" ref="O85" si="35">AVERAGE(O46:O84)</f>
        <v>73.358974358974365</v>
      </c>
      <c r="P85" s="9">
        <f>AVERAGE(P46:P84)</f>
        <v>7.6168123104999918E-3</v>
      </c>
      <c r="Q85" s="8">
        <f t="shared" ref="Q85" si="36">AVERAGE(Q46:Q84)</f>
        <v>0.12358974536451009</v>
      </c>
    </row>
    <row r="86" spans="1:17" ht="15" thickBot="1" x14ac:dyDescent="0.4">
      <c r="C86" s="10">
        <f>COUNTIF(D$46:D$84,0)</f>
        <v>38</v>
      </c>
      <c r="F86" s="10">
        <f>COUNTIF(G$46:G$84,0)</f>
        <v>30</v>
      </c>
      <c r="L86" s="10">
        <f>COUNTIF(M$46:M$84,0)</f>
        <v>36</v>
      </c>
      <c r="O86" s="10">
        <f>COUNTIF(P$46:P$84,0)</f>
        <v>28</v>
      </c>
    </row>
  </sheetData>
  <conditionalFormatting sqref="D46:D84">
    <cfRule type="colorScale" priority="3">
      <colorScale>
        <cfvo type="min"/>
        <cfvo type="max"/>
        <color rgb="FFFCFCFF"/>
        <color rgb="FFF8696B"/>
      </colorScale>
    </cfRule>
  </conditionalFormatting>
  <conditionalFormatting sqref="M46:M84">
    <cfRule type="colorScale" priority="2">
      <colorScale>
        <cfvo type="min"/>
        <cfvo type="max"/>
        <color rgb="FFFCFCFF"/>
        <color rgb="FFF8696B"/>
      </colorScale>
    </cfRule>
  </conditionalFormatting>
  <conditionalFormatting sqref="P46:P84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Salazar Cárdenas</cp:lastModifiedBy>
  <dcterms:created xsi:type="dcterms:W3CDTF">2026-10-08T21:21:25Z</dcterms:created>
  <dcterms:modified xsi:type="dcterms:W3CDTF">2026-10-09T14:43:11Z</dcterms:modified>
</cp:coreProperties>
</file>