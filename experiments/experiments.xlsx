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alejandracasadoceballos/Desktop/DROMDP/code/experiments/"/>
    </mc:Choice>
  </mc:AlternateContent>
  <xr:revisionPtr revIDLastSave="0" documentId="13_ncr:1_{2BF42CD9-C113-7D48-8B23-20CC77E9DE6B}" xr6:coauthVersionLast="47" xr6:coauthVersionMax="47" xr10:uidLastSave="{00000000-0000-0000-0000-000000000000}"/>
  <bookViews>
    <workbookView xWindow="0" yWindow="660" windowWidth="30240" windowHeight="18980" tabRatio="746" firstSheet="5" activeTab="9" xr2:uid="{00000000-000D-0000-FFFF-FFFF00000000}"/>
  </bookViews>
  <sheets>
    <sheet name="Table 2" sheetId="60" r:id="rId1"/>
    <sheet name="Table 3" sheetId="53" r:id="rId2"/>
    <sheet name="Figure 6" sheetId="46" r:id="rId3"/>
    <sheet name="Table 4" sheetId="54" r:id="rId4"/>
    <sheet name="Figure 7" sheetId="40" r:id="rId5"/>
    <sheet name="Table 5" sheetId="56" r:id="rId6"/>
    <sheet name="Table 6" sheetId="41" r:id="rId7"/>
    <sheet name="Table 7" sheetId="49" r:id="rId8"/>
    <sheet name="execs Table 2" sheetId="59" r:id="rId9"/>
    <sheet name="execs Table 7" sheetId="5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53" l="1"/>
  <c r="B3" i="53"/>
  <c r="B3" i="54"/>
  <c r="B4" i="54"/>
  <c r="B3" i="60"/>
  <c r="B4" i="60"/>
  <c r="X12" i="60"/>
  <c r="X13" i="60"/>
  <c r="X14" i="60"/>
  <c r="X15" i="60"/>
  <c r="X16" i="60"/>
  <c r="X17" i="60"/>
  <c r="X18" i="60"/>
  <c r="X19" i="60"/>
  <c r="X20" i="60"/>
  <c r="X21" i="60"/>
  <c r="X22" i="60"/>
  <c r="X23" i="60"/>
  <c r="X24" i="60"/>
  <c r="X25" i="60"/>
  <c r="X26" i="60"/>
  <c r="X27" i="60"/>
  <c r="X28" i="60"/>
  <c r="X29" i="60"/>
  <c r="X30" i="60"/>
  <c r="X31" i="60"/>
  <c r="X32" i="60"/>
  <c r="X33" i="60"/>
  <c r="X34" i="60"/>
  <c r="X35" i="60"/>
  <c r="X36" i="60"/>
  <c r="X37" i="60"/>
  <c r="W13" i="60"/>
  <c r="W14" i="60"/>
  <c r="W15" i="60"/>
  <c r="W16" i="60"/>
  <c r="W17" i="60"/>
  <c r="W18" i="60"/>
  <c r="W19" i="60"/>
  <c r="W20" i="60"/>
  <c r="W21" i="60"/>
  <c r="W22" i="60"/>
  <c r="W23" i="60"/>
  <c r="W24" i="60"/>
  <c r="W25" i="60"/>
  <c r="W26" i="60"/>
  <c r="W27" i="60"/>
  <c r="W28" i="60"/>
  <c r="W29" i="60"/>
  <c r="W30" i="60"/>
  <c r="W31" i="60"/>
  <c r="W32" i="60"/>
  <c r="W33" i="60"/>
  <c r="W34" i="60"/>
  <c r="W35" i="60"/>
  <c r="W36" i="60"/>
  <c r="W37" i="60"/>
  <c r="W12" i="60"/>
  <c r="T12" i="60"/>
  <c r="T13" i="60"/>
  <c r="T14" i="60"/>
  <c r="T15" i="60"/>
  <c r="T16" i="60"/>
  <c r="T17" i="60"/>
  <c r="T18" i="60"/>
  <c r="T19" i="60"/>
  <c r="T20" i="60"/>
  <c r="T21" i="60"/>
  <c r="T22" i="60"/>
  <c r="T23" i="60"/>
  <c r="T24" i="60"/>
  <c r="T25" i="60"/>
  <c r="T26" i="60"/>
  <c r="T27" i="60"/>
  <c r="T28" i="60"/>
  <c r="T29" i="60"/>
  <c r="T30" i="60"/>
  <c r="T31" i="60"/>
  <c r="T32" i="60"/>
  <c r="T33" i="60"/>
  <c r="T34" i="60"/>
  <c r="T35" i="60"/>
  <c r="T36" i="60"/>
  <c r="T37" i="60"/>
  <c r="S13" i="60"/>
  <c r="S14" i="60"/>
  <c r="S15" i="60"/>
  <c r="S16" i="60"/>
  <c r="S17" i="60"/>
  <c r="S18" i="60"/>
  <c r="S19" i="60"/>
  <c r="S20" i="60"/>
  <c r="S21" i="60"/>
  <c r="S22" i="60"/>
  <c r="S23" i="60"/>
  <c r="S24" i="60"/>
  <c r="S25" i="60"/>
  <c r="S26" i="60"/>
  <c r="S27" i="60"/>
  <c r="S28" i="60"/>
  <c r="S29" i="60"/>
  <c r="S30" i="60"/>
  <c r="S31" i="60"/>
  <c r="S32" i="60"/>
  <c r="S33" i="60"/>
  <c r="S34" i="60"/>
  <c r="S35" i="60"/>
  <c r="S36" i="60"/>
  <c r="S37" i="60"/>
  <c r="S12" i="60"/>
  <c r="P12" i="60"/>
  <c r="D6" i="60" s="1"/>
  <c r="P13" i="60"/>
  <c r="P14" i="60"/>
  <c r="P15" i="60"/>
  <c r="P16" i="60"/>
  <c r="P17" i="60"/>
  <c r="P18" i="60"/>
  <c r="P19" i="60"/>
  <c r="P20" i="60"/>
  <c r="P21" i="60"/>
  <c r="P22" i="60"/>
  <c r="P23" i="60"/>
  <c r="P24" i="60"/>
  <c r="P25" i="60"/>
  <c r="P26" i="60"/>
  <c r="P27" i="60"/>
  <c r="P28" i="60"/>
  <c r="P29" i="60"/>
  <c r="P30" i="60"/>
  <c r="P31" i="60"/>
  <c r="P32" i="60"/>
  <c r="P33" i="60"/>
  <c r="P34" i="60"/>
  <c r="P35" i="60"/>
  <c r="P36" i="60"/>
  <c r="P37" i="60"/>
  <c r="O13" i="60"/>
  <c r="O14" i="60"/>
  <c r="O15" i="60"/>
  <c r="O16" i="60"/>
  <c r="O17" i="60"/>
  <c r="O18" i="60"/>
  <c r="O19" i="60"/>
  <c r="O20" i="60"/>
  <c r="O21" i="60"/>
  <c r="O22" i="60"/>
  <c r="O23" i="60"/>
  <c r="O24" i="60"/>
  <c r="O25" i="60"/>
  <c r="O26" i="60"/>
  <c r="O27" i="60"/>
  <c r="O28" i="60"/>
  <c r="O29" i="60"/>
  <c r="O30" i="60"/>
  <c r="O31" i="60"/>
  <c r="O32" i="60"/>
  <c r="O33" i="60"/>
  <c r="O34" i="60"/>
  <c r="O35" i="60"/>
  <c r="O36" i="60"/>
  <c r="O37" i="60"/>
  <c r="O12" i="60"/>
  <c r="L12" i="60"/>
  <c r="L13" i="60"/>
  <c r="L14" i="60"/>
  <c r="L15" i="60"/>
  <c r="L16" i="60"/>
  <c r="L17" i="60"/>
  <c r="D4" i="60" s="1"/>
  <c r="L18" i="60"/>
  <c r="L19" i="60"/>
  <c r="L20" i="60"/>
  <c r="L21" i="60"/>
  <c r="D3" i="60" s="1"/>
  <c r="L22" i="60"/>
  <c r="L23" i="60"/>
  <c r="L24" i="60"/>
  <c r="L25" i="60"/>
  <c r="L26" i="60"/>
  <c r="L27" i="60"/>
  <c r="L28" i="60"/>
  <c r="L29" i="60"/>
  <c r="L30" i="60"/>
  <c r="L31" i="60"/>
  <c r="L32" i="60"/>
  <c r="L33" i="60"/>
  <c r="L34" i="60"/>
  <c r="L35" i="60"/>
  <c r="L36" i="60"/>
  <c r="L37" i="60"/>
  <c r="K13" i="60"/>
  <c r="K14" i="60"/>
  <c r="K15" i="60"/>
  <c r="K16" i="60"/>
  <c r="C8" i="60" s="1"/>
  <c r="K17" i="60"/>
  <c r="K18" i="60"/>
  <c r="K19" i="60"/>
  <c r="K20" i="60"/>
  <c r="K21" i="60"/>
  <c r="K22" i="60"/>
  <c r="K23" i="60"/>
  <c r="K24" i="60"/>
  <c r="K25" i="60"/>
  <c r="K26" i="60"/>
  <c r="K27" i="60"/>
  <c r="K28" i="60"/>
  <c r="K29" i="60"/>
  <c r="K30" i="60"/>
  <c r="K31" i="60"/>
  <c r="K32" i="60"/>
  <c r="K33" i="60"/>
  <c r="K34" i="60"/>
  <c r="K35" i="60"/>
  <c r="K36" i="60"/>
  <c r="K37" i="60"/>
  <c r="K12" i="60"/>
  <c r="H12" i="60"/>
  <c r="H13" i="60"/>
  <c r="H14" i="60"/>
  <c r="H15" i="60"/>
  <c r="H16" i="60"/>
  <c r="H17" i="60"/>
  <c r="H18" i="60"/>
  <c r="H19" i="60"/>
  <c r="H20" i="60"/>
  <c r="H21" i="60"/>
  <c r="H22" i="60"/>
  <c r="H23" i="60"/>
  <c r="H24" i="60"/>
  <c r="H25" i="60"/>
  <c r="H26" i="60"/>
  <c r="H27" i="60"/>
  <c r="H28" i="60"/>
  <c r="H29" i="60"/>
  <c r="H30" i="60"/>
  <c r="H31" i="60"/>
  <c r="H32" i="60"/>
  <c r="H33" i="60"/>
  <c r="H34" i="60"/>
  <c r="H35" i="60"/>
  <c r="H36" i="60"/>
  <c r="H37" i="60"/>
  <c r="G13" i="60"/>
  <c r="G14" i="60"/>
  <c r="G15" i="60"/>
  <c r="G16" i="60"/>
  <c r="G17" i="60"/>
  <c r="G18" i="60"/>
  <c r="G19" i="60"/>
  <c r="G20" i="60"/>
  <c r="G21" i="60"/>
  <c r="G22" i="60"/>
  <c r="G23" i="60"/>
  <c r="G24" i="60"/>
  <c r="G25" i="60"/>
  <c r="G26" i="60"/>
  <c r="G27" i="60"/>
  <c r="G28" i="60"/>
  <c r="G29" i="60"/>
  <c r="G30" i="60"/>
  <c r="G31" i="60"/>
  <c r="G32" i="60"/>
  <c r="G33" i="60"/>
  <c r="G34" i="60"/>
  <c r="G35" i="60"/>
  <c r="G36" i="60"/>
  <c r="G37" i="60"/>
  <c r="G12" i="60"/>
  <c r="D13" i="60"/>
  <c r="D14" i="60"/>
  <c r="D15" i="60"/>
  <c r="D16" i="60"/>
  <c r="D17" i="60"/>
  <c r="D18" i="60"/>
  <c r="D19" i="60"/>
  <c r="D20" i="60"/>
  <c r="D21" i="60"/>
  <c r="D22" i="60"/>
  <c r="D23" i="60"/>
  <c r="D24" i="60"/>
  <c r="D25" i="60"/>
  <c r="D26" i="60"/>
  <c r="D27" i="60"/>
  <c r="D28" i="60"/>
  <c r="D29" i="60"/>
  <c r="D30" i="60"/>
  <c r="D31" i="60"/>
  <c r="D32" i="60"/>
  <c r="D33" i="60"/>
  <c r="D34" i="60"/>
  <c r="D35" i="60"/>
  <c r="D36" i="60"/>
  <c r="D37" i="60"/>
  <c r="D12" i="60"/>
  <c r="C13" i="60"/>
  <c r="C14" i="60"/>
  <c r="C15" i="60"/>
  <c r="C16" i="60"/>
  <c r="C17" i="60"/>
  <c r="C18" i="60"/>
  <c r="C19" i="60"/>
  <c r="C20" i="60"/>
  <c r="C21" i="60"/>
  <c r="C22" i="60"/>
  <c r="C23" i="60"/>
  <c r="C24" i="60"/>
  <c r="C25" i="60"/>
  <c r="C26" i="60"/>
  <c r="C27" i="60"/>
  <c r="C28" i="60"/>
  <c r="C29" i="60"/>
  <c r="C30" i="60"/>
  <c r="C31" i="60"/>
  <c r="C32" i="60"/>
  <c r="C33" i="60"/>
  <c r="C34" i="60"/>
  <c r="C35" i="60"/>
  <c r="C36" i="60"/>
  <c r="C37" i="60"/>
  <c r="C12" i="60"/>
  <c r="AR37" i="60"/>
  <c r="AR35" i="60"/>
  <c r="F35" i="60" s="1"/>
  <c r="AR33" i="60"/>
  <c r="AR25" i="60"/>
  <c r="F25" i="60" s="1"/>
  <c r="AR23" i="60"/>
  <c r="AR15" i="60"/>
  <c r="F15" i="60" s="1"/>
  <c r="AR13" i="60"/>
  <c r="B8" i="60"/>
  <c r="B7" i="60"/>
  <c r="B6" i="60"/>
  <c r="B5" i="60"/>
  <c r="C4" i="60"/>
  <c r="O12" i="49"/>
  <c r="G6" i="41"/>
  <c r="E6" i="41"/>
  <c r="E7" i="41"/>
  <c r="S34" i="56"/>
  <c r="N34" i="56" s="1"/>
  <c r="S33" i="56"/>
  <c r="J33" i="56" s="1"/>
  <c r="S32" i="56"/>
  <c r="E32" i="56" s="1"/>
  <c r="S31" i="56"/>
  <c r="M31" i="56" s="1"/>
  <c r="S30" i="56"/>
  <c r="M30" i="56" s="1"/>
  <c r="S29" i="56"/>
  <c r="F29" i="56" s="1"/>
  <c r="S28" i="56"/>
  <c r="I28" i="56" s="1"/>
  <c r="S27" i="56"/>
  <c r="N27" i="56" s="1"/>
  <c r="S26" i="56"/>
  <c r="I26" i="56" s="1"/>
  <c r="S25" i="56"/>
  <c r="J25" i="56" s="1"/>
  <c r="S24" i="56"/>
  <c r="N24" i="56" s="1"/>
  <c r="S23" i="56"/>
  <c r="J23" i="56" s="1"/>
  <c r="S22" i="56"/>
  <c r="E22" i="56" s="1"/>
  <c r="S21" i="56"/>
  <c r="N21" i="56" s="1"/>
  <c r="S20" i="56"/>
  <c r="M20" i="56" s="1"/>
  <c r="E20" i="56"/>
  <c r="S19" i="56"/>
  <c r="F19" i="56" s="1"/>
  <c r="S18" i="56"/>
  <c r="F18" i="56" s="1"/>
  <c r="S17" i="56"/>
  <c r="N17" i="56" s="1"/>
  <c r="S16" i="56"/>
  <c r="I16" i="56" s="1"/>
  <c r="S15" i="56"/>
  <c r="I15" i="56" s="1"/>
  <c r="S14" i="56"/>
  <c r="M14" i="56" s="1"/>
  <c r="S13" i="56"/>
  <c r="J13" i="56" s="1"/>
  <c r="S12" i="56"/>
  <c r="E12" i="56" s="1"/>
  <c r="S11" i="56"/>
  <c r="I11" i="56" s="1"/>
  <c r="S10" i="56"/>
  <c r="M10" i="56" s="1"/>
  <c r="S9" i="56"/>
  <c r="F9" i="56" s="1"/>
  <c r="D5" i="56"/>
  <c r="C5" i="56"/>
  <c r="B5" i="56"/>
  <c r="D4" i="56"/>
  <c r="C4" i="56"/>
  <c r="B4" i="56"/>
  <c r="D3" i="56"/>
  <c r="C3" i="56"/>
  <c r="B3" i="56"/>
  <c r="O33" i="54"/>
  <c r="J33" i="54" s="1"/>
  <c r="O32" i="54"/>
  <c r="J32" i="54" s="1"/>
  <c r="O31" i="54"/>
  <c r="J31" i="54" s="1"/>
  <c r="O30" i="54"/>
  <c r="J30" i="54" s="1"/>
  <c r="O29" i="54"/>
  <c r="J29" i="54" s="1"/>
  <c r="O28" i="54"/>
  <c r="J28" i="54" s="1"/>
  <c r="O27" i="54"/>
  <c r="J27" i="54" s="1"/>
  <c r="O26" i="54"/>
  <c r="J26" i="54" s="1"/>
  <c r="O25" i="54"/>
  <c r="J25" i="54" s="1"/>
  <c r="O24" i="54"/>
  <c r="J24" i="54" s="1"/>
  <c r="O23" i="54"/>
  <c r="J23" i="54" s="1"/>
  <c r="O22" i="54"/>
  <c r="J22" i="54" s="1"/>
  <c r="O21" i="54"/>
  <c r="J21" i="54" s="1"/>
  <c r="O20" i="54"/>
  <c r="J20" i="54" s="1"/>
  <c r="O19" i="54"/>
  <c r="J19" i="54" s="1"/>
  <c r="O18" i="54"/>
  <c r="J18" i="54" s="1"/>
  <c r="O17" i="54"/>
  <c r="J17" i="54" s="1"/>
  <c r="O16" i="54"/>
  <c r="J16" i="54" s="1"/>
  <c r="O15" i="54"/>
  <c r="J15" i="54" s="1"/>
  <c r="O14" i="54"/>
  <c r="J14" i="54" s="1"/>
  <c r="O13" i="54"/>
  <c r="J13" i="54" s="1"/>
  <c r="O12" i="54"/>
  <c r="J12" i="54" s="1"/>
  <c r="O11" i="54"/>
  <c r="J11" i="54" s="1"/>
  <c r="O10" i="54"/>
  <c r="J10" i="54" s="1"/>
  <c r="O9" i="54"/>
  <c r="J9" i="54" s="1"/>
  <c r="O8" i="54"/>
  <c r="J8" i="54" s="1"/>
  <c r="D4" i="54"/>
  <c r="C4" i="54"/>
  <c r="D3" i="54"/>
  <c r="C3" i="54"/>
  <c r="O9" i="53"/>
  <c r="O10" i="53"/>
  <c r="J10" i="53" s="1"/>
  <c r="O11" i="53"/>
  <c r="O12" i="53"/>
  <c r="F12" i="53" s="1"/>
  <c r="O13" i="53"/>
  <c r="J13" i="53" s="1"/>
  <c r="O14" i="53"/>
  <c r="E14" i="53" s="1"/>
  <c r="O15" i="53"/>
  <c r="J15" i="53" s="1"/>
  <c r="O16" i="53"/>
  <c r="J16" i="53" s="1"/>
  <c r="O17" i="53"/>
  <c r="J17" i="53" s="1"/>
  <c r="O18" i="53"/>
  <c r="E18" i="53" s="1"/>
  <c r="O19" i="53"/>
  <c r="O20" i="53"/>
  <c r="O21" i="53"/>
  <c r="O22" i="53"/>
  <c r="O23" i="53"/>
  <c r="J23" i="53" s="1"/>
  <c r="O24" i="53"/>
  <c r="I24" i="53" s="1"/>
  <c r="O25" i="53"/>
  <c r="E25" i="53" s="1"/>
  <c r="O26" i="53"/>
  <c r="I26" i="53" s="1"/>
  <c r="O27" i="53"/>
  <c r="I27" i="53" s="1"/>
  <c r="O28" i="53"/>
  <c r="F28" i="53" s="1"/>
  <c r="O29" i="53"/>
  <c r="O30" i="53"/>
  <c r="E30" i="53" s="1"/>
  <c r="O31" i="53"/>
  <c r="E31" i="53" s="1"/>
  <c r="O32" i="53"/>
  <c r="O33" i="53"/>
  <c r="J33" i="53" s="1"/>
  <c r="O8" i="53"/>
  <c r="E8" i="53" s="1"/>
  <c r="J30" i="53"/>
  <c r="I29" i="53"/>
  <c r="E29" i="53"/>
  <c r="F22" i="53"/>
  <c r="J21" i="53"/>
  <c r="J20" i="53"/>
  <c r="I19" i="53"/>
  <c r="F15" i="53"/>
  <c r="J11" i="53"/>
  <c r="I9" i="53"/>
  <c r="J9" i="53"/>
  <c r="D4" i="53"/>
  <c r="C4" i="53"/>
  <c r="D3" i="53"/>
  <c r="C3" i="53"/>
  <c r="AC11" i="41"/>
  <c r="S10" i="40"/>
  <c r="S11" i="40"/>
  <c r="S12" i="40"/>
  <c r="S13" i="40"/>
  <c r="S14" i="40"/>
  <c r="S15" i="40"/>
  <c r="S16" i="40"/>
  <c r="S17" i="40"/>
  <c r="S18" i="40"/>
  <c r="S19" i="40"/>
  <c r="S20" i="40"/>
  <c r="S21" i="40"/>
  <c r="S22" i="40"/>
  <c r="S23" i="40"/>
  <c r="S24" i="40"/>
  <c r="S25" i="40"/>
  <c r="S26" i="40"/>
  <c r="S27" i="40"/>
  <c r="S28" i="40"/>
  <c r="S29" i="40"/>
  <c r="S30" i="40"/>
  <c r="S31" i="40"/>
  <c r="S32" i="40"/>
  <c r="S33" i="40"/>
  <c r="S34" i="40"/>
  <c r="S9" i="40"/>
  <c r="C6" i="49"/>
  <c r="X13" i="49"/>
  <c r="X14" i="49"/>
  <c r="X15" i="49"/>
  <c r="X16" i="49"/>
  <c r="X17" i="49"/>
  <c r="X18" i="49"/>
  <c r="X19" i="49"/>
  <c r="X20" i="49"/>
  <c r="X21" i="49"/>
  <c r="X22" i="49"/>
  <c r="X23" i="49"/>
  <c r="X24" i="49"/>
  <c r="X25" i="49"/>
  <c r="X26" i="49"/>
  <c r="X27" i="49"/>
  <c r="X28" i="49"/>
  <c r="X29" i="49"/>
  <c r="X30" i="49"/>
  <c r="X31" i="49"/>
  <c r="X32" i="49"/>
  <c r="X33" i="49"/>
  <c r="X34" i="49"/>
  <c r="X35" i="49"/>
  <c r="X36" i="49"/>
  <c r="X37" i="49"/>
  <c r="X38" i="49"/>
  <c r="X39" i="49"/>
  <c r="X40" i="49"/>
  <c r="X41" i="49"/>
  <c r="X42" i="49"/>
  <c r="X43" i="49"/>
  <c r="X44" i="49"/>
  <c r="X45" i="49"/>
  <c r="X46" i="49"/>
  <c r="X47" i="49"/>
  <c r="X48" i="49"/>
  <c r="X49" i="49"/>
  <c r="X50" i="49"/>
  <c r="X51" i="49"/>
  <c r="X52" i="49"/>
  <c r="X53" i="49"/>
  <c r="X54" i="49"/>
  <c r="X55" i="49"/>
  <c r="X56" i="49"/>
  <c r="X57" i="49"/>
  <c r="X58" i="49"/>
  <c r="X59" i="49"/>
  <c r="X60" i="49"/>
  <c r="X61" i="49"/>
  <c r="X62" i="49"/>
  <c r="X63" i="49"/>
  <c r="X64" i="49"/>
  <c r="X65" i="49"/>
  <c r="X66" i="49"/>
  <c r="X67" i="49"/>
  <c r="X68" i="49"/>
  <c r="X69" i="49"/>
  <c r="X70" i="49"/>
  <c r="X71" i="49"/>
  <c r="X72" i="49"/>
  <c r="X73" i="49"/>
  <c r="X74" i="49"/>
  <c r="X75" i="49"/>
  <c r="X76" i="49"/>
  <c r="X77" i="49"/>
  <c r="X78" i="49"/>
  <c r="X79" i="49"/>
  <c r="X80" i="49"/>
  <c r="X81" i="49"/>
  <c r="X82" i="49"/>
  <c r="X83" i="49"/>
  <c r="X84" i="49"/>
  <c r="X85" i="49"/>
  <c r="X86" i="49"/>
  <c r="X87" i="49"/>
  <c r="X88" i="49"/>
  <c r="X89" i="49"/>
  <c r="X90" i="49"/>
  <c r="X91" i="49"/>
  <c r="X92" i="49"/>
  <c r="X93" i="49"/>
  <c r="X94" i="49"/>
  <c r="X95" i="49"/>
  <c r="X96" i="49"/>
  <c r="X97" i="49"/>
  <c r="X98" i="49"/>
  <c r="X99" i="49"/>
  <c r="X100" i="49"/>
  <c r="X101" i="49"/>
  <c r="X102" i="49"/>
  <c r="X103" i="49"/>
  <c r="X104" i="49"/>
  <c r="X105" i="49"/>
  <c r="X106" i="49"/>
  <c r="X107" i="49"/>
  <c r="X108" i="49"/>
  <c r="X109" i="49"/>
  <c r="X110" i="49"/>
  <c r="X111" i="49"/>
  <c r="X112" i="49"/>
  <c r="X113" i="49"/>
  <c r="X114" i="49"/>
  <c r="X115" i="49"/>
  <c r="X116" i="49"/>
  <c r="X117" i="49"/>
  <c r="X118" i="49"/>
  <c r="X119" i="49"/>
  <c r="X120" i="49"/>
  <c r="X121" i="49"/>
  <c r="X122" i="49"/>
  <c r="X123" i="49"/>
  <c r="X124" i="49"/>
  <c r="X125" i="49"/>
  <c r="X126" i="49"/>
  <c r="X127" i="49"/>
  <c r="X128" i="49"/>
  <c r="X12" i="49"/>
  <c r="D8" i="49" s="1"/>
  <c r="W13" i="49"/>
  <c r="W14" i="49"/>
  <c r="W15" i="49"/>
  <c r="W16" i="49"/>
  <c r="W17" i="49"/>
  <c r="W18" i="49"/>
  <c r="W19" i="49"/>
  <c r="W20" i="49"/>
  <c r="W21" i="49"/>
  <c r="W22" i="49"/>
  <c r="W23" i="49"/>
  <c r="W24" i="49"/>
  <c r="AR24" i="49" s="1"/>
  <c r="E24" i="49" s="1"/>
  <c r="W25" i="49"/>
  <c r="W26" i="49"/>
  <c r="W27" i="49"/>
  <c r="W28" i="49"/>
  <c r="W29" i="49"/>
  <c r="W30" i="49"/>
  <c r="W31" i="49"/>
  <c r="W32" i="49"/>
  <c r="W33" i="49"/>
  <c r="W34" i="49"/>
  <c r="W35" i="49"/>
  <c r="W36" i="49"/>
  <c r="W37" i="49"/>
  <c r="W38" i="49"/>
  <c r="W39" i="49"/>
  <c r="W40" i="49"/>
  <c r="W41" i="49"/>
  <c r="W42" i="49"/>
  <c r="W43" i="49"/>
  <c r="W44" i="49"/>
  <c r="W45" i="49"/>
  <c r="W46" i="49"/>
  <c r="W47" i="49"/>
  <c r="W48" i="49"/>
  <c r="W49" i="49"/>
  <c r="W50" i="49"/>
  <c r="W51" i="49"/>
  <c r="W52" i="49"/>
  <c r="W53" i="49"/>
  <c r="W54" i="49"/>
  <c r="W55" i="49"/>
  <c r="W56" i="49"/>
  <c r="W57" i="49"/>
  <c r="W58" i="49"/>
  <c r="W59" i="49"/>
  <c r="W60" i="49"/>
  <c r="W61" i="49"/>
  <c r="W62" i="49"/>
  <c r="W63" i="49"/>
  <c r="W64" i="49"/>
  <c r="W65" i="49"/>
  <c r="W66" i="49"/>
  <c r="W67" i="49"/>
  <c r="W68" i="49"/>
  <c r="W69" i="49"/>
  <c r="W70" i="49"/>
  <c r="W71" i="49"/>
  <c r="W72" i="49"/>
  <c r="W73" i="49"/>
  <c r="W74" i="49"/>
  <c r="W75" i="49"/>
  <c r="W76" i="49"/>
  <c r="W77" i="49"/>
  <c r="W78" i="49"/>
  <c r="W79" i="49"/>
  <c r="W80" i="49"/>
  <c r="W81" i="49"/>
  <c r="W82" i="49"/>
  <c r="W83" i="49"/>
  <c r="W84" i="49"/>
  <c r="W85" i="49"/>
  <c r="W86" i="49"/>
  <c r="W87" i="49"/>
  <c r="W88" i="49"/>
  <c r="W89" i="49"/>
  <c r="W90" i="49"/>
  <c r="W91" i="49"/>
  <c r="W92" i="49"/>
  <c r="W93" i="49"/>
  <c r="W94" i="49"/>
  <c r="W95" i="49"/>
  <c r="W96" i="49"/>
  <c r="W97" i="49"/>
  <c r="W98" i="49"/>
  <c r="W99" i="49"/>
  <c r="W100" i="49"/>
  <c r="W101" i="49"/>
  <c r="W102" i="49"/>
  <c r="W103" i="49"/>
  <c r="W104" i="49"/>
  <c r="W105" i="49"/>
  <c r="W106" i="49"/>
  <c r="W107" i="49"/>
  <c r="W108" i="49"/>
  <c r="W109" i="49"/>
  <c r="W110" i="49"/>
  <c r="W111" i="49"/>
  <c r="W112" i="49"/>
  <c r="W113" i="49"/>
  <c r="W114" i="49"/>
  <c r="W115" i="49"/>
  <c r="W116" i="49"/>
  <c r="W117" i="49"/>
  <c r="W118" i="49"/>
  <c r="W119" i="49"/>
  <c r="W120" i="49"/>
  <c r="W121" i="49"/>
  <c r="W122" i="49"/>
  <c r="W123" i="49"/>
  <c r="W124" i="49"/>
  <c r="W125" i="49"/>
  <c r="W126" i="49"/>
  <c r="W127" i="49"/>
  <c r="W128" i="49"/>
  <c r="W12" i="49"/>
  <c r="S13" i="49"/>
  <c r="T13" i="49"/>
  <c r="S14" i="49"/>
  <c r="T14" i="49"/>
  <c r="S15" i="49"/>
  <c r="T15" i="49"/>
  <c r="S16" i="49"/>
  <c r="T16" i="49"/>
  <c r="S17" i="49"/>
  <c r="T17" i="49"/>
  <c r="S18" i="49"/>
  <c r="T18" i="49"/>
  <c r="S19" i="49"/>
  <c r="T19" i="49"/>
  <c r="S20" i="49"/>
  <c r="AR20" i="49" s="1"/>
  <c r="J20" i="49" s="1"/>
  <c r="T20" i="49"/>
  <c r="S21" i="49"/>
  <c r="T21" i="49"/>
  <c r="S22" i="49"/>
  <c r="T22" i="49"/>
  <c r="S23" i="49"/>
  <c r="T23" i="49"/>
  <c r="S24" i="49"/>
  <c r="T24" i="49"/>
  <c r="S25" i="49"/>
  <c r="T25" i="49"/>
  <c r="S26" i="49"/>
  <c r="T26" i="49"/>
  <c r="S27" i="49"/>
  <c r="T27" i="49"/>
  <c r="S28" i="49"/>
  <c r="T28" i="49"/>
  <c r="S29" i="49"/>
  <c r="AR29" i="49" s="1"/>
  <c r="M29" i="49" s="1"/>
  <c r="T29" i="49"/>
  <c r="S30" i="49"/>
  <c r="T30" i="49"/>
  <c r="S31" i="49"/>
  <c r="T31" i="49"/>
  <c r="S32" i="49"/>
  <c r="T32" i="49"/>
  <c r="S33" i="49"/>
  <c r="T33" i="49"/>
  <c r="S34" i="49"/>
  <c r="T34" i="49"/>
  <c r="S35" i="49"/>
  <c r="T35" i="49"/>
  <c r="S36" i="49"/>
  <c r="T36" i="49"/>
  <c r="S37" i="49"/>
  <c r="T37" i="49"/>
  <c r="S38" i="49"/>
  <c r="T38" i="49"/>
  <c r="S39" i="49"/>
  <c r="T39" i="49"/>
  <c r="S40" i="49"/>
  <c r="AR40" i="49" s="1"/>
  <c r="F40" i="49" s="1"/>
  <c r="T40" i="49"/>
  <c r="S41" i="49"/>
  <c r="T41" i="49"/>
  <c r="S42" i="49"/>
  <c r="T42" i="49"/>
  <c r="S43" i="49"/>
  <c r="T43" i="49"/>
  <c r="S44" i="49"/>
  <c r="T44" i="49"/>
  <c r="S45" i="49"/>
  <c r="T45" i="49"/>
  <c r="S46" i="49"/>
  <c r="T46" i="49"/>
  <c r="S47" i="49"/>
  <c r="T47" i="49"/>
  <c r="S48" i="49"/>
  <c r="T48" i="49"/>
  <c r="S49" i="49"/>
  <c r="AR49" i="49" s="1"/>
  <c r="R49" i="49" s="1"/>
  <c r="T49" i="49"/>
  <c r="S50" i="49"/>
  <c r="AR50" i="49" s="1"/>
  <c r="V50" i="49" s="1"/>
  <c r="T50" i="49"/>
  <c r="S51" i="49"/>
  <c r="T51" i="49"/>
  <c r="S52" i="49"/>
  <c r="T52" i="49"/>
  <c r="S53" i="49"/>
  <c r="T53" i="49"/>
  <c r="S54" i="49"/>
  <c r="T54" i="49"/>
  <c r="S55" i="49"/>
  <c r="T55" i="49"/>
  <c r="S56" i="49"/>
  <c r="T56" i="49"/>
  <c r="S57" i="49"/>
  <c r="T57" i="49"/>
  <c r="S58" i="49"/>
  <c r="T58" i="49"/>
  <c r="S59" i="49"/>
  <c r="T59" i="49"/>
  <c r="S60" i="49"/>
  <c r="T60" i="49"/>
  <c r="S61" i="49"/>
  <c r="T61" i="49"/>
  <c r="S62" i="49"/>
  <c r="T62" i="49"/>
  <c r="S63" i="49"/>
  <c r="T63" i="49"/>
  <c r="S64" i="49"/>
  <c r="T64" i="49"/>
  <c r="S65" i="49"/>
  <c r="AR65" i="49" s="1"/>
  <c r="V65" i="49" s="1"/>
  <c r="T65" i="49"/>
  <c r="S66" i="49"/>
  <c r="T66" i="49"/>
  <c r="S67" i="49"/>
  <c r="T67" i="49"/>
  <c r="S68" i="49"/>
  <c r="T68" i="49"/>
  <c r="S69" i="49"/>
  <c r="AR69" i="49" s="1"/>
  <c r="U69" i="49" s="1"/>
  <c r="T69" i="49"/>
  <c r="S70" i="49"/>
  <c r="AR70" i="49" s="1"/>
  <c r="F70" i="49" s="1"/>
  <c r="T70" i="49"/>
  <c r="S71" i="49"/>
  <c r="T71" i="49"/>
  <c r="S72" i="49"/>
  <c r="T72" i="49"/>
  <c r="S73" i="49"/>
  <c r="T73" i="49"/>
  <c r="S74" i="49"/>
  <c r="T74" i="49"/>
  <c r="S75" i="49"/>
  <c r="T75" i="49"/>
  <c r="S76" i="49"/>
  <c r="T76" i="49"/>
  <c r="S77" i="49"/>
  <c r="T77" i="49"/>
  <c r="S78" i="49"/>
  <c r="T78" i="49"/>
  <c r="S79" i="49"/>
  <c r="T79" i="49"/>
  <c r="S80" i="49"/>
  <c r="T80" i="49"/>
  <c r="S81" i="49"/>
  <c r="T81" i="49"/>
  <c r="S82" i="49"/>
  <c r="T82" i="49"/>
  <c r="S83" i="49"/>
  <c r="T83" i="49"/>
  <c r="S84" i="49"/>
  <c r="T84" i="49"/>
  <c r="S85" i="49"/>
  <c r="T85" i="49"/>
  <c r="S86" i="49"/>
  <c r="T86" i="49"/>
  <c r="S87" i="49"/>
  <c r="T87" i="49"/>
  <c r="S88" i="49"/>
  <c r="T88" i="49"/>
  <c r="S89" i="49"/>
  <c r="AR89" i="49" s="1"/>
  <c r="R89" i="49" s="1"/>
  <c r="T89" i="49"/>
  <c r="S90" i="49"/>
  <c r="AR90" i="49" s="1"/>
  <c r="Q90" i="49" s="1"/>
  <c r="T90" i="49"/>
  <c r="S91" i="49"/>
  <c r="T91" i="49"/>
  <c r="S92" i="49"/>
  <c r="T92" i="49"/>
  <c r="S93" i="49"/>
  <c r="T93" i="49"/>
  <c r="S94" i="49"/>
  <c r="T94" i="49"/>
  <c r="S95" i="49"/>
  <c r="T95" i="49"/>
  <c r="S96" i="49"/>
  <c r="T96" i="49"/>
  <c r="S97" i="49"/>
  <c r="T97" i="49"/>
  <c r="S98" i="49"/>
  <c r="T98" i="49"/>
  <c r="S99" i="49"/>
  <c r="AR99" i="49" s="1"/>
  <c r="T99" i="49"/>
  <c r="S100" i="49"/>
  <c r="AR100" i="49" s="1"/>
  <c r="V100" i="49" s="1"/>
  <c r="T100" i="49"/>
  <c r="S101" i="49"/>
  <c r="T101" i="49"/>
  <c r="S102" i="49"/>
  <c r="T102" i="49"/>
  <c r="S103" i="49"/>
  <c r="T103" i="49"/>
  <c r="S104" i="49"/>
  <c r="T104" i="49"/>
  <c r="S105" i="49"/>
  <c r="T105" i="49"/>
  <c r="S106" i="49"/>
  <c r="T106" i="49"/>
  <c r="S107" i="49"/>
  <c r="T107" i="49"/>
  <c r="S108" i="49"/>
  <c r="T108" i="49"/>
  <c r="S109" i="49"/>
  <c r="AR109" i="49" s="1"/>
  <c r="Q109" i="49" s="1"/>
  <c r="T109" i="49"/>
  <c r="S110" i="49"/>
  <c r="T110" i="49"/>
  <c r="S111" i="49"/>
  <c r="T111" i="49"/>
  <c r="S112" i="49"/>
  <c r="T112" i="49"/>
  <c r="S113" i="49"/>
  <c r="T113" i="49"/>
  <c r="S114" i="49"/>
  <c r="T114" i="49"/>
  <c r="S115" i="49"/>
  <c r="T115" i="49"/>
  <c r="S116" i="49"/>
  <c r="T116" i="49"/>
  <c r="S117" i="49"/>
  <c r="T117" i="49"/>
  <c r="S118" i="49"/>
  <c r="T118" i="49"/>
  <c r="S119" i="49"/>
  <c r="T119" i="49"/>
  <c r="S120" i="49"/>
  <c r="AR120" i="49" s="1"/>
  <c r="Y120" i="49" s="1"/>
  <c r="T120" i="49"/>
  <c r="S121" i="49"/>
  <c r="T121" i="49"/>
  <c r="S122" i="49"/>
  <c r="T122" i="49"/>
  <c r="S123" i="49"/>
  <c r="T123" i="49"/>
  <c r="S124" i="49"/>
  <c r="T124" i="49"/>
  <c r="S125" i="49"/>
  <c r="T125" i="49"/>
  <c r="S126" i="49"/>
  <c r="T126" i="49"/>
  <c r="S127" i="49"/>
  <c r="T127" i="49"/>
  <c r="S128" i="49"/>
  <c r="T128" i="49"/>
  <c r="T12" i="49"/>
  <c r="S12" i="49"/>
  <c r="P13" i="49"/>
  <c r="P14" i="49"/>
  <c r="P15" i="49"/>
  <c r="P16" i="49"/>
  <c r="P17" i="49"/>
  <c r="P18" i="49"/>
  <c r="P19" i="49"/>
  <c r="P20" i="49"/>
  <c r="P21" i="49"/>
  <c r="P22" i="49"/>
  <c r="P23" i="49"/>
  <c r="P24" i="49"/>
  <c r="P25" i="49"/>
  <c r="P26" i="49"/>
  <c r="P27" i="49"/>
  <c r="P28" i="49"/>
  <c r="P29" i="49"/>
  <c r="P30" i="49"/>
  <c r="P31" i="49"/>
  <c r="P32" i="49"/>
  <c r="P33" i="49"/>
  <c r="P34" i="49"/>
  <c r="P35" i="49"/>
  <c r="P36" i="49"/>
  <c r="P37" i="49"/>
  <c r="P38" i="49"/>
  <c r="P39" i="49"/>
  <c r="P40" i="49"/>
  <c r="P41" i="49"/>
  <c r="P42" i="49"/>
  <c r="P43" i="49"/>
  <c r="P44" i="49"/>
  <c r="P45" i="49"/>
  <c r="P46" i="49"/>
  <c r="P47" i="49"/>
  <c r="P48" i="49"/>
  <c r="P49" i="49"/>
  <c r="P50" i="49"/>
  <c r="P51" i="49"/>
  <c r="P52" i="49"/>
  <c r="P53" i="49"/>
  <c r="P54" i="49"/>
  <c r="P55" i="49"/>
  <c r="P56" i="49"/>
  <c r="P57" i="49"/>
  <c r="P58" i="49"/>
  <c r="P59" i="49"/>
  <c r="P60" i="49"/>
  <c r="P61" i="49"/>
  <c r="P62" i="49"/>
  <c r="P63" i="49"/>
  <c r="P64" i="49"/>
  <c r="P65" i="49"/>
  <c r="P66" i="49"/>
  <c r="P67" i="49"/>
  <c r="P68" i="49"/>
  <c r="P69" i="49"/>
  <c r="P70" i="49"/>
  <c r="P71" i="49"/>
  <c r="P72" i="49"/>
  <c r="P73" i="49"/>
  <c r="P74" i="49"/>
  <c r="P75" i="49"/>
  <c r="P76" i="49"/>
  <c r="P77" i="49"/>
  <c r="P78" i="49"/>
  <c r="P79" i="49"/>
  <c r="P80" i="49"/>
  <c r="P81" i="49"/>
  <c r="P82" i="49"/>
  <c r="P83" i="49"/>
  <c r="P84" i="49"/>
  <c r="P85" i="49"/>
  <c r="P86" i="49"/>
  <c r="P87" i="49"/>
  <c r="P88" i="49"/>
  <c r="P89" i="49"/>
  <c r="P90" i="49"/>
  <c r="P91" i="49"/>
  <c r="P92" i="49"/>
  <c r="P93" i="49"/>
  <c r="P94" i="49"/>
  <c r="P95" i="49"/>
  <c r="P96" i="49"/>
  <c r="P97" i="49"/>
  <c r="P98" i="49"/>
  <c r="P99" i="49"/>
  <c r="P100" i="49"/>
  <c r="P101" i="49"/>
  <c r="P102" i="49"/>
  <c r="P103" i="49"/>
  <c r="P104" i="49"/>
  <c r="P105" i="49"/>
  <c r="P106" i="49"/>
  <c r="P107" i="49"/>
  <c r="P108" i="49"/>
  <c r="P109" i="49"/>
  <c r="P110" i="49"/>
  <c r="P111" i="49"/>
  <c r="P112" i="49"/>
  <c r="P113" i="49"/>
  <c r="P114" i="49"/>
  <c r="P115" i="49"/>
  <c r="P116" i="49"/>
  <c r="P117" i="49"/>
  <c r="P118" i="49"/>
  <c r="P119" i="49"/>
  <c r="P120" i="49"/>
  <c r="P121" i="49"/>
  <c r="P122" i="49"/>
  <c r="P123" i="49"/>
  <c r="P124" i="49"/>
  <c r="P125" i="49"/>
  <c r="P126" i="49"/>
  <c r="P127" i="49"/>
  <c r="P128" i="49"/>
  <c r="P12" i="49"/>
  <c r="D6" i="49" s="1"/>
  <c r="O13" i="49"/>
  <c r="AR13" i="49" s="1"/>
  <c r="U13" i="49" s="1"/>
  <c r="O14" i="49"/>
  <c r="AR14" i="49" s="1"/>
  <c r="R14" i="49" s="1"/>
  <c r="O15" i="49"/>
  <c r="AR15" i="49" s="1"/>
  <c r="F15" i="49" s="1"/>
  <c r="O16" i="49"/>
  <c r="O17" i="49"/>
  <c r="O18" i="49"/>
  <c r="O19" i="49"/>
  <c r="O20" i="49"/>
  <c r="O21" i="49"/>
  <c r="O22" i="49"/>
  <c r="O23" i="49"/>
  <c r="O24" i="49"/>
  <c r="O25" i="49"/>
  <c r="O26" i="49"/>
  <c r="O27" i="49"/>
  <c r="O28" i="49"/>
  <c r="AR28" i="49" s="1"/>
  <c r="N28" i="49" s="1"/>
  <c r="O29" i="49"/>
  <c r="O30" i="49"/>
  <c r="AR30" i="49" s="1"/>
  <c r="J30" i="49" s="1"/>
  <c r="O31" i="49"/>
  <c r="AR31" i="49" s="1"/>
  <c r="J31" i="49" s="1"/>
  <c r="O32" i="49"/>
  <c r="O33" i="49"/>
  <c r="AR33" i="49" s="1"/>
  <c r="N33" i="49" s="1"/>
  <c r="O34" i="49"/>
  <c r="AR34" i="49" s="1"/>
  <c r="V34" i="49" s="1"/>
  <c r="O35" i="49"/>
  <c r="AR35" i="49" s="1"/>
  <c r="M35" i="49" s="1"/>
  <c r="O36" i="49"/>
  <c r="O37" i="49"/>
  <c r="O38" i="49"/>
  <c r="O39" i="49"/>
  <c r="O40" i="49"/>
  <c r="O41" i="49"/>
  <c r="O42" i="49"/>
  <c r="O43" i="49"/>
  <c r="AR43" i="49" s="1"/>
  <c r="E43" i="49" s="1"/>
  <c r="O44" i="49"/>
  <c r="O45" i="49"/>
  <c r="AR45" i="49" s="1"/>
  <c r="V45" i="49" s="1"/>
  <c r="O46" i="49"/>
  <c r="O47" i="49"/>
  <c r="O48" i="49"/>
  <c r="AR48" i="49" s="1"/>
  <c r="N48" i="49" s="1"/>
  <c r="O49" i="49"/>
  <c r="O50" i="49"/>
  <c r="O51" i="49"/>
  <c r="O52" i="49"/>
  <c r="O53" i="49"/>
  <c r="AR53" i="49" s="1"/>
  <c r="J53" i="49" s="1"/>
  <c r="O54" i="49"/>
  <c r="O55" i="49"/>
  <c r="AR55" i="49" s="1"/>
  <c r="I55" i="49" s="1"/>
  <c r="O56" i="49"/>
  <c r="AR56" i="49" s="1"/>
  <c r="N56" i="49" s="1"/>
  <c r="O57" i="49"/>
  <c r="O58" i="49"/>
  <c r="O59" i="49"/>
  <c r="O60" i="49"/>
  <c r="AR60" i="49" s="1"/>
  <c r="F60" i="49" s="1"/>
  <c r="O61" i="49"/>
  <c r="O62" i="49"/>
  <c r="O63" i="49"/>
  <c r="AR63" i="49" s="1"/>
  <c r="M63" i="49" s="1"/>
  <c r="O64" i="49"/>
  <c r="O65" i="49"/>
  <c r="O66" i="49"/>
  <c r="O67" i="49"/>
  <c r="O68" i="49"/>
  <c r="AR68" i="49" s="1"/>
  <c r="N68" i="49" s="1"/>
  <c r="O69" i="49"/>
  <c r="O70" i="49"/>
  <c r="O71" i="49"/>
  <c r="O72" i="49"/>
  <c r="O73" i="49"/>
  <c r="O74" i="49"/>
  <c r="O75" i="49"/>
  <c r="AR75" i="49" s="1"/>
  <c r="J75" i="49" s="1"/>
  <c r="O76" i="49"/>
  <c r="O77" i="49"/>
  <c r="O78" i="49"/>
  <c r="O79" i="49"/>
  <c r="O80" i="49"/>
  <c r="AR80" i="49" s="1"/>
  <c r="F80" i="49" s="1"/>
  <c r="O81" i="49"/>
  <c r="O82" i="49"/>
  <c r="O83" i="49"/>
  <c r="AR83" i="49" s="1"/>
  <c r="N83" i="49" s="1"/>
  <c r="O84" i="49"/>
  <c r="AR84" i="49" s="1"/>
  <c r="U84" i="49" s="1"/>
  <c r="O85" i="49"/>
  <c r="AR85" i="49" s="1"/>
  <c r="J85" i="49" s="1"/>
  <c r="O86" i="49"/>
  <c r="AR86" i="49" s="1"/>
  <c r="I86" i="49" s="1"/>
  <c r="O87" i="49"/>
  <c r="O88" i="49"/>
  <c r="O89" i="49"/>
  <c r="O90" i="49"/>
  <c r="O91" i="49"/>
  <c r="O92" i="49"/>
  <c r="O93" i="49"/>
  <c r="O94" i="49"/>
  <c r="O95" i="49"/>
  <c r="AR95" i="49" s="1"/>
  <c r="O96" i="49"/>
  <c r="AR96" i="49" s="1"/>
  <c r="U96" i="49" s="1"/>
  <c r="O97" i="49"/>
  <c r="O98" i="49"/>
  <c r="AR98" i="49" s="1"/>
  <c r="N98" i="49" s="1"/>
  <c r="O99" i="49"/>
  <c r="O100" i="49"/>
  <c r="O101" i="49"/>
  <c r="O102" i="49"/>
  <c r="O103" i="49"/>
  <c r="AR103" i="49" s="1"/>
  <c r="V103" i="49" s="1"/>
  <c r="O104" i="49"/>
  <c r="AR104" i="49" s="1"/>
  <c r="R104" i="49" s="1"/>
  <c r="O105" i="49"/>
  <c r="AR105" i="49" s="1"/>
  <c r="Z105" i="49" s="1"/>
  <c r="O106" i="49"/>
  <c r="AR106" i="49" s="1"/>
  <c r="I106" i="49" s="1"/>
  <c r="O107" i="49"/>
  <c r="O108" i="49"/>
  <c r="O109" i="49"/>
  <c r="O110" i="49"/>
  <c r="AR110" i="49" s="1"/>
  <c r="Z110" i="49" s="1"/>
  <c r="O111" i="49"/>
  <c r="O112" i="49"/>
  <c r="O113" i="49"/>
  <c r="AR113" i="49" s="1"/>
  <c r="R113" i="49" s="1"/>
  <c r="O114" i="49"/>
  <c r="AR114" i="49" s="1"/>
  <c r="O115" i="49"/>
  <c r="AR115" i="49" s="1"/>
  <c r="U115" i="49" s="1"/>
  <c r="O116" i="49"/>
  <c r="AR116" i="49" s="1"/>
  <c r="M116" i="49" s="1"/>
  <c r="O117" i="49"/>
  <c r="O118" i="49"/>
  <c r="O119" i="49"/>
  <c r="O120" i="49"/>
  <c r="O121" i="49"/>
  <c r="O122" i="49"/>
  <c r="O123" i="49"/>
  <c r="O124" i="49"/>
  <c r="AR124" i="49" s="1"/>
  <c r="F124" i="49" s="1"/>
  <c r="O125" i="49"/>
  <c r="AR125" i="49" s="1"/>
  <c r="Z125" i="49" s="1"/>
  <c r="O126" i="49"/>
  <c r="O127" i="49"/>
  <c r="O128" i="49"/>
  <c r="AR128" i="49" s="1"/>
  <c r="N128" i="49" s="1"/>
  <c r="C5" i="49"/>
  <c r="B8" i="49"/>
  <c r="B7" i="49"/>
  <c r="B6" i="49"/>
  <c r="B5" i="49"/>
  <c r="B4" i="49"/>
  <c r="B3" i="49"/>
  <c r="AR18" i="49"/>
  <c r="N18" i="49" s="1"/>
  <c r="AR19" i="49"/>
  <c r="M19" i="49" s="1"/>
  <c r="AR23" i="49"/>
  <c r="E23" i="49" s="1"/>
  <c r="AR25" i="49"/>
  <c r="AR38" i="49"/>
  <c r="N38" i="49" s="1"/>
  <c r="AR39" i="49"/>
  <c r="R39" i="49" s="1"/>
  <c r="AR41" i="49"/>
  <c r="U41" i="49" s="1"/>
  <c r="AR57" i="49"/>
  <c r="N57" i="49" s="1"/>
  <c r="AR58" i="49"/>
  <c r="N58" i="49" s="1"/>
  <c r="AR59" i="49"/>
  <c r="Q59" i="49" s="1"/>
  <c r="AR71" i="49"/>
  <c r="Y71" i="49" s="1"/>
  <c r="AR73" i="49"/>
  <c r="M73" i="49" s="1"/>
  <c r="AR78" i="49"/>
  <c r="N78" i="49" s="1"/>
  <c r="AR79" i="49"/>
  <c r="U79" i="49" s="1"/>
  <c r="AR88" i="49"/>
  <c r="N88" i="49" s="1"/>
  <c r="AR93" i="49"/>
  <c r="Q93" i="49" s="1"/>
  <c r="AR94" i="49"/>
  <c r="R94" i="49" s="1"/>
  <c r="AR108" i="49"/>
  <c r="N108" i="49" s="1"/>
  <c r="AR118" i="49"/>
  <c r="N118" i="49" s="1"/>
  <c r="AR119" i="49"/>
  <c r="U119" i="49" s="1"/>
  <c r="AR123" i="49"/>
  <c r="R123" i="49" s="1"/>
  <c r="F3" i="41"/>
  <c r="F4" i="41"/>
  <c r="E5" i="41"/>
  <c r="E4" i="41"/>
  <c r="E3" i="41"/>
  <c r="W98" i="41"/>
  <c r="AC12" i="41"/>
  <c r="X12" i="41" s="1"/>
  <c r="AC13" i="41"/>
  <c r="AC14" i="41"/>
  <c r="AC15" i="41"/>
  <c r="AC16" i="41"/>
  <c r="X16" i="41" s="1"/>
  <c r="AC17" i="41"/>
  <c r="G17" i="41" s="1"/>
  <c r="AC18" i="41"/>
  <c r="S18" i="41" s="1"/>
  <c r="AC19" i="41"/>
  <c r="X19" i="41" s="1"/>
  <c r="AC20" i="41"/>
  <c r="O20" i="41" s="1"/>
  <c r="AC21" i="41"/>
  <c r="S21" i="41" s="1"/>
  <c r="AC22" i="41"/>
  <c r="X22" i="41" s="1"/>
  <c r="AC23" i="41"/>
  <c r="AC24" i="41"/>
  <c r="AC25" i="41"/>
  <c r="AC26" i="41"/>
  <c r="O26" i="41" s="1"/>
  <c r="AC27" i="41"/>
  <c r="G27" i="41" s="1"/>
  <c r="AC28" i="41"/>
  <c r="S28" i="41" s="1"/>
  <c r="AC29" i="41"/>
  <c r="X29" i="41" s="1"/>
  <c r="AC30" i="41"/>
  <c r="S30" i="41" s="1"/>
  <c r="AC31" i="41"/>
  <c r="S31" i="41" s="1"/>
  <c r="AC32" i="41"/>
  <c r="X32" i="41" s="1"/>
  <c r="AC33" i="41"/>
  <c r="AC34" i="41"/>
  <c r="AC35" i="41"/>
  <c r="AC36" i="41"/>
  <c r="X36" i="41" s="1"/>
  <c r="AC37" i="41"/>
  <c r="S37" i="41" s="1"/>
  <c r="AC38" i="41"/>
  <c r="H38" i="41" s="1"/>
  <c r="AC39" i="41"/>
  <c r="K39" i="41" s="1"/>
  <c r="AC40" i="41"/>
  <c r="O40" i="41" s="1"/>
  <c r="AC41" i="41"/>
  <c r="G41" i="41" s="1"/>
  <c r="AC42" i="41"/>
  <c r="H42" i="41" s="1"/>
  <c r="AC43" i="41"/>
  <c r="O43" i="41" s="1"/>
  <c r="AC44" i="41"/>
  <c r="AC45" i="41"/>
  <c r="S45" i="41" s="1"/>
  <c r="AC46" i="41"/>
  <c r="W46" i="41" s="1"/>
  <c r="AC47" i="41"/>
  <c r="S47" i="41" s="1"/>
  <c r="AC48" i="41"/>
  <c r="S48" i="41" s="1"/>
  <c r="AC49" i="41"/>
  <c r="O49" i="41" s="1"/>
  <c r="AC50" i="41"/>
  <c r="O50" i="41" s="1"/>
  <c r="AC51" i="41"/>
  <c r="G51" i="41" s="1"/>
  <c r="AC52" i="41"/>
  <c r="G52" i="41" s="1"/>
  <c r="AC53" i="41"/>
  <c r="S53" i="41" s="1"/>
  <c r="AC54" i="41"/>
  <c r="L54" i="41" s="1"/>
  <c r="AC55" i="41"/>
  <c r="H55" i="41" s="1"/>
  <c r="AC56" i="41"/>
  <c r="X56" i="41" s="1"/>
  <c r="AC57" i="41"/>
  <c r="S57" i="41" s="1"/>
  <c r="AC58" i="41"/>
  <c r="S58" i="41" s="1"/>
  <c r="AC59" i="41"/>
  <c r="S59" i="41" s="1"/>
  <c r="AC60" i="41"/>
  <c r="K60" i="41" s="1"/>
  <c r="AC61" i="41"/>
  <c r="G61" i="41" s="1"/>
  <c r="AC62" i="41"/>
  <c r="K62" i="41" s="1"/>
  <c r="AC63" i="41"/>
  <c r="AC64" i="41"/>
  <c r="AC65" i="41"/>
  <c r="S65" i="41" s="1"/>
  <c r="AC66" i="41"/>
  <c r="W66" i="41" s="1"/>
  <c r="AC67" i="41"/>
  <c r="S67" i="41" s="1"/>
  <c r="AC68" i="41"/>
  <c r="S68" i="41" s="1"/>
  <c r="AC69" i="41"/>
  <c r="S69" i="41" s="1"/>
  <c r="AC70" i="41"/>
  <c r="K70" i="41" s="1"/>
  <c r="AC71" i="41"/>
  <c r="G71" i="41" s="1"/>
  <c r="AC72" i="41"/>
  <c r="L72" i="41" s="1"/>
  <c r="AC73" i="41"/>
  <c r="O73" i="41" s="1"/>
  <c r="AC74" i="41"/>
  <c r="O74" i="41" s="1"/>
  <c r="AC75" i="41"/>
  <c r="X75" i="41" s="1"/>
  <c r="AC76" i="41"/>
  <c r="X76" i="41" s="1"/>
  <c r="AC77" i="41"/>
  <c r="S77" i="41" s="1"/>
  <c r="AC78" i="41"/>
  <c r="H78" i="41" s="1"/>
  <c r="AC79" i="41"/>
  <c r="K79" i="41" s="1"/>
  <c r="AC80" i="41"/>
  <c r="K80" i="41" s="1"/>
  <c r="AC81" i="41"/>
  <c r="G81" i="41" s="1"/>
  <c r="AC82" i="41"/>
  <c r="O82" i="41" s="1"/>
  <c r="AC83" i="41"/>
  <c r="X83" i="41" s="1"/>
  <c r="AC84" i="41"/>
  <c r="G84" i="41" s="1"/>
  <c r="AC85" i="41"/>
  <c r="X85" i="41" s="1"/>
  <c r="AC86" i="41"/>
  <c r="X86" i="41" s="1"/>
  <c r="AC87" i="41"/>
  <c r="S87" i="41" s="1"/>
  <c r="AC88" i="41"/>
  <c r="S88" i="41" s="1"/>
  <c r="AC89" i="41"/>
  <c r="K89" i="41" s="1"/>
  <c r="AC90" i="41"/>
  <c r="O90" i="41" s="1"/>
  <c r="AC91" i="41"/>
  <c r="G91" i="41" s="1"/>
  <c r="AC92" i="41"/>
  <c r="H92" i="41" s="1"/>
  <c r="AC93" i="41"/>
  <c r="G93" i="41" s="1"/>
  <c r="AC94" i="41"/>
  <c r="L94" i="41" s="1"/>
  <c r="AC95" i="41"/>
  <c r="L95" i="41" s="1"/>
  <c r="AC96" i="41"/>
  <c r="W96" i="41" s="1"/>
  <c r="AC97" i="41"/>
  <c r="S97" i="41" s="1"/>
  <c r="AC98" i="41"/>
  <c r="H98" i="41" s="1"/>
  <c r="AC99" i="41"/>
  <c r="S99" i="41" s="1"/>
  <c r="AC100" i="41"/>
  <c r="K100" i="41" s="1"/>
  <c r="AC101" i="41"/>
  <c r="G101" i="41" s="1"/>
  <c r="AC102" i="41"/>
  <c r="W102" i="41" s="1"/>
  <c r="AC103" i="41"/>
  <c r="G103" i="41" s="1"/>
  <c r="AC104" i="41"/>
  <c r="H104" i="41" s="1"/>
  <c r="AC105" i="41"/>
  <c r="G105" i="41" s="1"/>
  <c r="AC106" i="41"/>
  <c r="X106" i="41" s="1"/>
  <c r="AC107" i="41"/>
  <c r="S107" i="41" s="1"/>
  <c r="AC108" i="41"/>
  <c r="S108" i="41" s="1"/>
  <c r="AC109" i="41"/>
  <c r="O109" i="41" s="1"/>
  <c r="AC110" i="41"/>
  <c r="O110" i="41" s="1"/>
  <c r="AC111" i="41"/>
  <c r="G111" i="41" s="1"/>
  <c r="AC112" i="41"/>
  <c r="L112" i="41" s="1"/>
  <c r="AC113" i="41"/>
  <c r="K113" i="41" s="1"/>
  <c r="AC114" i="41"/>
  <c r="G114" i="41" s="1"/>
  <c r="AC115" i="41"/>
  <c r="G115" i="41" s="1"/>
  <c r="AC116" i="41"/>
  <c r="L116" i="41" s="1"/>
  <c r="AC117" i="41"/>
  <c r="S117" i="41" s="1"/>
  <c r="AC118" i="41"/>
  <c r="H118" i="41" s="1"/>
  <c r="AC119" i="41"/>
  <c r="K119" i="41" s="1"/>
  <c r="AC120" i="41"/>
  <c r="H120" i="41" s="1"/>
  <c r="AC121" i="41"/>
  <c r="G121" i="41" s="1"/>
  <c r="AC122" i="41"/>
  <c r="W122" i="41" s="1"/>
  <c r="AC123" i="41"/>
  <c r="K123" i="41" s="1"/>
  <c r="AC124" i="41"/>
  <c r="AC125" i="41"/>
  <c r="X125" i="41" s="1"/>
  <c r="AC126" i="41"/>
  <c r="X126" i="41" s="1"/>
  <c r="AC127" i="41"/>
  <c r="S127" i="41" s="1"/>
  <c r="W11" i="41"/>
  <c r="H82" i="41"/>
  <c r="G82" i="41"/>
  <c r="D12" i="46"/>
  <c r="C12" i="46"/>
  <c r="B12" i="46"/>
  <c r="AR17" i="46"/>
  <c r="AL17" i="46" s="1"/>
  <c r="AR18" i="46"/>
  <c r="AP18" i="46" s="1"/>
  <c r="AR19" i="46"/>
  <c r="AO19" i="46" s="1"/>
  <c r="AR20" i="46"/>
  <c r="U20" i="46" s="1"/>
  <c r="AR21" i="46"/>
  <c r="AH21" i="46" s="1"/>
  <c r="AR22" i="46"/>
  <c r="AP22" i="46" s="1"/>
  <c r="AR23" i="46"/>
  <c r="AO23" i="46" s="1"/>
  <c r="AR24" i="46"/>
  <c r="AP24" i="46" s="1"/>
  <c r="AR25" i="46"/>
  <c r="AC25" i="46" s="1"/>
  <c r="AR26" i="46"/>
  <c r="AD26" i="46" s="1"/>
  <c r="AR27" i="46"/>
  <c r="AP27" i="46" s="1"/>
  <c r="AR28" i="46"/>
  <c r="AP28" i="46" s="1"/>
  <c r="AR29" i="46"/>
  <c r="AP29" i="46" s="1"/>
  <c r="AR30" i="46"/>
  <c r="F30" i="46" s="1"/>
  <c r="AR31" i="46"/>
  <c r="AP31" i="46" s="1"/>
  <c r="AR32" i="46"/>
  <c r="AP32" i="46" s="1"/>
  <c r="AR33" i="46"/>
  <c r="AO33" i="46" s="1"/>
  <c r="AR34" i="46"/>
  <c r="AP34" i="46" s="1"/>
  <c r="AR35" i="46"/>
  <c r="AC35" i="46" s="1"/>
  <c r="AR36" i="46"/>
  <c r="AP36" i="46" s="1"/>
  <c r="AR37" i="46"/>
  <c r="AO37" i="46" s="1"/>
  <c r="AR38" i="46"/>
  <c r="AP38" i="46" s="1"/>
  <c r="AR39" i="46"/>
  <c r="AP39" i="46" s="1"/>
  <c r="AR40" i="46"/>
  <c r="U40" i="46" s="1"/>
  <c r="AR41" i="46"/>
  <c r="Z41" i="46" s="1"/>
  <c r="AR16" i="46"/>
  <c r="AP16" i="46" s="1"/>
  <c r="AP41" i="46"/>
  <c r="AP37" i="46"/>
  <c r="D9" i="46"/>
  <c r="C9" i="46"/>
  <c r="B9" i="46"/>
  <c r="D8" i="46"/>
  <c r="C8" i="46"/>
  <c r="B8" i="46"/>
  <c r="D7" i="46"/>
  <c r="C7" i="46"/>
  <c r="B7" i="46"/>
  <c r="D6" i="46"/>
  <c r="C6" i="46"/>
  <c r="B6" i="46"/>
  <c r="D5" i="46"/>
  <c r="C5" i="46"/>
  <c r="B5" i="46"/>
  <c r="D11" i="46"/>
  <c r="C11" i="46"/>
  <c r="B11" i="46"/>
  <c r="D10" i="46"/>
  <c r="C10" i="46"/>
  <c r="B10" i="46"/>
  <c r="D4" i="46"/>
  <c r="C4" i="46"/>
  <c r="B4" i="46"/>
  <c r="D3" i="46"/>
  <c r="C3" i="46"/>
  <c r="B3" i="46"/>
  <c r="D7" i="41"/>
  <c r="D6" i="41"/>
  <c r="D5" i="41"/>
  <c r="D4" i="41"/>
  <c r="D3" i="41"/>
  <c r="C3" i="40"/>
  <c r="B5" i="40"/>
  <c r="D5" i="40"/>
  <c r="C5" i="40"/>
  <c r="D4" i="40"/>
  <c r="C4" i="40"/>
  <c r="D3" i="40"/>
  <c r="D7" i="60" l="1"/>
  <c r="AR27" i="60"/>
  <c r="AR29" i="60"/>
  <c r="V29" i="60" s="1"/>
  <c r="AR19" i="60"/>
  <c r="Y19" i="60" s="1"/>
  <c r="D5" i="60"/>
  <c r="C6" i="60"/>
  <c r="Z25" i="60"/>
  <c r="D8" i="60"/>
  <c r="F29" i="60"/>
  <c r="AR31" i="60"/>
  <c r="F31" i="60" s="1"/>
  <c r="AR21" i="60"/>
  <c r="F21" i="60" s="1"/>
  <c r="Z15" i="60"/>
  <c r="R35" i="60"/>
  <c r="Z29" i="60"/>
  <c r="M27" i="60"/>
  <c r="M37" i="60"/>
  <c r="AR17" i="60"/>
  <c r="Q17" i="60" s="1"/>
  <c r="Z19" i="60"/>
  <c r="M31" i="60"/>
  <c r="Q37" i="60"/>
  <c r="Z35" i="60"/>
  <c r="Q13" i="60"/>
  <c r="V13" i="60"/>
  <c r="U13" i="60"/>
  <c r="J13" i="60"/>
  <c r="I13" i="60"/>
  <c r="N13" i="60"/>
  <c r="R13" i="60"/>
  <c r="Q29" i="60"/>
  <c r="U29" i="60"/>
  <c r="J29" i="60"/>
  <c r="I29" i="60"/>
  <c r="R29" i="60"/>
  <c r="N29" i="60"/>
  <c r="M33" i="60"/>
  <c r="F13" i="60"/>
  <c r="Z13" i="60"/>
  <c r="F23" i="60"/>
  <c r="Z23" i="60"/>
  <c r="Q27" i="60"/>
  <c r="N27" i="60"/>
  <c r="V27" i="60"/>
  <c r="U27" i="60"/>
  <c r="J27" i="60"/>
  <c r="I27" i="60"/>
  <c r="R27" i="60"/>
  <c r="F33" i="60"/>
  <c r="Z33" i="60"/>
  <c r="Q15" i="60"/>
  <c r="V15" i="60"/>
  <c r="U15" i="60"/>
  <c r="J15" i="60"/>
  <c r="I15" i="60"/>
  <c r="R15" i="60"/>
  <c r="N15" i="60"/>
  <c r="M19" i="60"/>
  <c r="Q25" i="60"/>
  <c r="N25" i="60"/>
  <c r="V25" i="60"/>
  <c r="U25" i="60"/>
  <c r="J25" i="60"/>
  <c r="I25" i="60"/>
  <c r="R25" i="60"/>
  <c r="M29" i="60"/>
  <c r="R33" i="60"/>
  <c r="Q35" i="60"/>
  <c r="N35" i="60"/>
  <c r="V35" i="60"/>
  <c r="U35" i="60"/>
  <c r="J35" i="60"/>
  <c r="I35" i="60"/>
  <c r="Q33" i="60"/>
  <c r="N33" i="60"/>
  <c r="V33" i="60"/>
  <c r="U33" i="60"/>
  <c r="J33" i="60"/>
  <c r="I33" i="60"/>
  <c r="Q23" i="60"/>
  <c r="N23" i="60"/>
  <c r="V23" i="60"/>
  <c r="U23" i="60"/>
  <c r="J23" i="60"/>
  <c r="I23" i="60"/>
  <c r="R23" i="60"/>
  <c r="M13" i="60"/>
  <c r="M23" i="60"/>
  <c r="M15" i="60"/>
  <c r="N21" i="60"/>
  <c r="V21" i="60"/>
  <c r="M25" i="60"/>
  <c r="F27" i="60"/>
  <c r="Z27" i="60"/>
  <c r="M35" i="60"/>
  <c r="N37" i="60"/>
  <c r="V37" i="60"/>
  <c r="U37" i="60"/>
  <c r="J37" i="60"/>
  <c r="I37" i="60"/>
  <c r="Z37" i="60"/>
  <c r="V19" i="60"/>
  <c r="U19" i="60"/>
  <c r="J19" i="60"/>
  <c r="I19" i="60"/>
  <c r="R19" i="60"/>
  <c r="R37" i="60"/>
  <c r="C3" i="60"/>
  <c r="C5" i="60"/>
  <c r="C7" i="60"/>
  <c r="AR12" i="60"/>
  <c r="I12" i="60" s="1"/>
  <c r="AR14" i="60"/>
  <c r="I14" i="60" s="1"/>
  <c r="AR16" i="60"/>
  <c r="V16" i="60" s="1"/>
  <c r="AR18" i="60"/>
  <c r="U18" i="60" s="1"/>
  <c r="AR20" i="60"/>
  <c r="R20" i="60" s="1"/>
  <c r="AR22" i="60"/>
  <c r="U22" i="60" s="1"/>
  <c r="AR24" i="60"/>
  <c r="V24" i="60" s="1"/>
  <c r="AR26" i="60"/>
  <c r="J26" i="60" s="1"/>
  <c r="AR28" i="60"/>
  <c r="R28" i="60" s="1"/>
  <c r="AR30" i="60"/>
  <c r="J30" i="60" s="1"/>
  <c r="AR32" i="60"/>
  <c r="U32" i="60" s="1"/>
  <c r="AR34" i="60"/>
  <c r="V34" i="60" s="1"/>
  <c r="AR36" i="60"/>
  <c r="E13" i="60"/>
  <c r="Y13" i="60"/>
  <c r="E15" i="60"/>
  <c r="Y15" i="60"/>
  <c r="E19" i="60"/>
  <c r="E23" i="60"/>
  <c r="Y23" i="60"/>
  <c r="E25" i="60"/>
  <c r="Y25" i="60"/>
  <c r="E27" i="60"/>
  <c r="Y27" i="60"/>
  <c r="E29" i="60"/>
  <c r="Y29" i="60"/>
  <c r="E33" i="60"/>
  <c r="Y33" i="60"/>
  <c r="E35" i="60"/>
  <c r="Y35" i="60"/>
  <c r="E37" i="60"/>
  <c r="Y37" i="60"/>
  <c r="F37" i="60"/>
  <c r="N20" i="56"/>
  <c r="F13" i="56"/>
  <c r="F22" i="56"/>
  <c r="J29" i="56"/>
  <c r="E25" i="56"/>
  <c r="N31" i="56"/>
  <c r="M25" i="56"/>
  <c r="N25" i="56"/>
  <c r="F34" i="56"/>
  <c r="I24" i="56"/>
  <c r="E14" i="56"/>
  <c r="J14" i="56"/>
  <c r="I14" i="56"/>
  <c r="N14" i="56"/>
  <c r="E34" i="56"/>
  <c r="J24" i="56"/>
  <c r="J28" i="56"/>
  <c r="N28" i="56"/>
  <c r="F32" i="56"/>
  <c r="F12" i="56"/>
  <c r="J26" i="56"/>
  <c r="E31" i="56"/>
  <c r="I34" i="56"/>
  <c r="M26" i="56"/>
  <c r="I31" i="56"/>
  <c r="J34" i="56"/>
  <c r="E13" i="56"/>
  <c r="E24" i="56"/>
  <c r="J31" i="56"/>
  <c r="J11" i="56"/>
  <c r="J15" i="56"/>
  <c r="J18" i="56"/>
  <c r="E21" i="56"/>
  <c r="F23" i="56"/>
  <c r="E28" i="56"/>
  <c r="E33" i="56"/>
  <c r="M33" i="56"/>
  <c r="I9" i="56"/>
  <c r="M11" i="56"/>
  <c r="M15" i="56"/>
  <c r="M18" i="56"/>
  <c r="F21" i="56"/>
  <c r="M23" i="56"/>
  <c r="J9" i="56"/>
  <c r="N11" i="56"/>
  <c r="F14" i="56"/>
  <c r="N15" i="56"/>
  <c r="N18" i="56"/>
  <c r="I21" i="56"/>
  <c r="N23" i="56"/>
  <c r="F25" i="56"/>
  <c r="M28" i="56"/>
  <c r="F31" i="56"/>
  <c r="N33" i="56"/>
  <c r="J21" i="56"/>
  <c r="E10" i="56"/>
  <c r="J16" i="56"/>
  <c r="I19" i="56"/>
  <c r="M21" i="56"/>
  <c r="N10" i="56"/>
  <c r="M16" i="56"/>
  <c r="J19" i="56"/>
  <c r="F24" i="56"/>
  <c r="I29" i="56"/>
  <c r="E11" i="56"/>
  <c r="F11" i="56"/>
  <c r="M13" i="56"/>
  <c r="E15" i="56"/>
  <c r="E18" i="56"/>
  <c r="M24" i="56"/>
  <c r="E30" i="56"/>
  <c r="M34" i="56"/>
  <c r="N13" i="56"/>
  <c r="F15" i="56"/>
  <c r="I18" i="56"/>
  <c r="E23" i="56"/>
  <c r="N30" i="56"/>
  <c r="I12" i="56"/>
  <c r="I22" i="56"/>
  <c r="I32" i="56"/>
  <c r="M9" i="56"/>
  <c r="J12" i="56"/>
  <c r="N16" i="56"/>
  <c r="M19" i="56"/>
  <c r="J22" i="56"/>
  <c r="I25" i="56"/>
  <c r="N26" i="56"/>
  <c r="F28" i="56"/>
  <c r="M29" i="56"/>
  <c r="J32" i="56"/>
  <c r="N9" i="56"/>
  <c r="M12" i="56"/>
  <c r="N19" i="56"/>
  <c r="M22" i="56"/>
  <c r="N29" i="56"/>
  <c r="M32" i="56"/>
  <c r="N12" i="56"/>
  <c r="E17" i="56"/>
  <c r="N22" i="56"/>
  <c r="E27" i="56"/>
  <c r="N32" i="56"/>
  <c r="F10" i="56"/>
  <c r="I17" i="56"/>
  <c r="F20" i="56"/>
  <c r="I27" i="56"/>
  <c r="F30" i="56"/>
  <c r="I10" i="56"/>
  <c r="E16" i="56"/>
  <c r="J17" i="56"/>
  <c r="I20" i="56"/>
  <c r="E26" i="56"/>
  <c r="J27" i="56"/>
  <c r="I30" i="56"/>
  <c r="F33" i="56"/>
  <c r="E9" i="56"/>
  <c r="J10" i="56"/>
  <c r="I13" i="56"/>
  <c r="F16" i="56"/>
  <c r="M17" i="56"/>
  <c r="E19" i="56"/>
  <c r="J20" i="56"/>
  <c r="I23" i="56"/>
  <c r="F26" i="56"/>
  <c r="M27" i="56"/>
  <c r="E29" i="56"/>
  <c r="J30" i="56"/>
  <c r="I33" i="56"/>
  <c r="F17" i="56"/>
  <c r="F27" i="56"/>
  <c r="F4" i="54"/>
  <c r="E8" i="54"/>
  <c r="E10" i="54"/>
  <c r="E12" i="54"/>
  <c r="E14" i="54"/>
  <c r="E16" i="54"/>
  <c r="E18" i="54"/>
  <c r="E20" i="54"/>
  <c r="E22" i="54"/>
  <c r="E24" i="54"/>
  <c r="E26" i="54"/>
  <c r="E28" i="54"/>
  <c r="E30" i="54"/>
  <c r="E32" i="54"/>
  <c r="F8" i="54"/>
  <c r="F10" i="54"/>
  <c r="F12" i="54"/>
  <c r="F14" i="54"/>
  <c r="F16" i="54"/>
  <c r="F18" i="54"/>
  <c r="F20" i="54"/>
  <c r="F22" i="54"/>
  <c r="F24" i="54"/>
  <c r="F26" i="54"/>
  <c r="F28" i="54"/>
  <c r="F30" i="54"/>
  <c r="F32" i="54"/>
  <c r="I8" i="54"/>
  <c r="I10" i="54"/>
  <c r="I12" i="54"/>
  <c r="I14" i="54"/>
  <c r="I16" i="54"/>
  <c r="I18" i="54"/>
  <c r="I20" i="54"/>
  <c r="I22" i="54"/>
  <c r="I24" i="54"/>
  <c r="I26" i="54"/>
  <c r="I28" i="54"/>
  <c r="I30" i="54"/>
  <c r="I32" i="54"/>
  <c r="E9" i="54"/>
  <c r="E11" i="54"/>
  <c r="E13" i="54"/>
  <c r="E15" i="54"/>
  <c r="E17" i="54"/>
  <c r="E19" i="54"/>
  <c r="E21" i="54"/>
  <c r="E23" i="54"/>
  <c r="E25" i="54"/>
  <c r="E27" i="54"/>
  <c r="E29" i="54"/>
  <c r="E31" i="54"/>
  <c r="E33" i="54"/>
  <c r="F9" i="54"/>
  <c r="F11" i="54"/>
  <c r="F13" i="54"/>
  <c r="F15" i="54"/>
  <c r="F17" i="54"/>
  <c r="F19" i="54"/>
  <c r="F21" i="54"/>
  <c r="F23" i="54"/>
  <c r="F25" i="54"/>
  <c r="F27" i="54"/>
  <c r="F29" i="54"/>
  <c r="F31" i="54"/>
  <c r="F33" i="54"/>
  <c r="I9" i="54"/>
  <c r="I11" i="54"/>
  <c r="I13" i="54"/>
  <c r="I15" i="54"/>
  <c r="I17" i="54"/>
  <c r="I19" i="54"/>
  <c r="I21" i="54"/>
  <c r="I23" i="54"/>
  <c r="I25" i="54"/>
  <c r="I27" i="54"/>
  <c r="I29" i="54"/>
  <c r="I31" i="54"/>
  <c r="I33" i="54"/>
  <c r="I14" i="53"/>
  <c r="F8" i="53"/>
  <c r="I8" i="53"/>
  <c r="J18" i="53"/>
  <c r="I12" i="53"/>
  <c r="J26" i="53"/>
  <c r="E27" i="53"/>
  <c r="F27" i="53"/>
  <c r="I15" i="53"/>
  <c r="J27" i="53"/>
  <c r="E15" i="53"/>
  <c r="I28" i="53"/>
  <c r="J28" i="53"/>
  <c r="F26" i="53"/>
  <c r="I11" i="53"/>
  <c r="J8" i="53"/>
  <c r="F18" i="53"/>
  <c r="I16" i="53"/>
  <c r="I18" i="53"/>
  <c r="F24" i="53"/>
  <c r="J24" i="53"/>
  <c r="F14" i="53"/>
  <c r="E17" i="53"/>
  <c r="F25" i="53"/>
  <c r="J14" i="53"/>
  <c r="F17" i="53"/>
  <c r="I25" i="53"/>
  <c r="E11" i="53"/>
  <c r="I17" i="53"/>
  <c r="J25" i="53"/>
  <c r="E28" i="53"/>
  <c r="F11" i="53"/>
  <c r="E21" i="53"/>
  <c r="J19" i="53"/>
  <c r="F21" i="53"/>
  <c r="I22" i="53"/>
  <c r="E24" i="53"/>
  <c r="J29" i="53"/>
  <c r="F31" i="53"/>
  <c r="I32" i="53"/>
  <c r="J12" i="53"/>
  <c r="J22" i="53"/>
  <c r="J32" i="53"/>
  <c r="E10" i="53"/>
  <c r="F20" i="53"/>
  <c r="I21" i="53"/>
  <c r="E23" i="53"/>
  <c r="F30" i="53"/>
  <c r="I31" i="53"/>
  <c r="E33" i="53"/>
  <c r="F13" i="53"/>
  <c r="E16" i="53"/>
  <c r="F23" i="53"/>
  <c r="E26" i="53"/>
  <c r="J31" i="53"/>
  <c r="F33" i="53"/>
  <c r="E20" i="53"/>
  <c r="F10" i="53"/>
  <c r="E13" i="53"/>
  <c r="E9" i="53"/>
  <c r="F16" i="53"/>
  <c r="E19" i="53"/>
  <c r="F9" i="53"/>
  <c r="I10" i="53"/>
  <c r="E12" i="53"/>
  <c r="F19" i="53"/>
  <c r="I20" i="53"/>
  <c r="E22" i="53"/>
  <c r="F29" i="53"/>
  <c r="I30" i="53"/>
  <c r="E32" i="53"/>
  <c r="I13" i="53"/>
  <c r="I23" i="53"/>
  <c r="F32" i="53"/>
  <c r="I33" i="53"/>
  <c r="R99" i="49"/>
  <c r="I99" i="49"/>
  <c r="AR74" i="49"/>
  <c r="Q74" i="49" s="1"/>
  <c r="AR122" i="49"/>
  <c r="Z122" i="49" s="1"/>
  <c r="AR112" i="49"/>
  <c r="R112" i="49" s="1"/>
  <c r="AR102" i="49"/>
  <c r="R102" i="49" s="1"/>
  <c r="AR92" i="49"/>
  <c r="Y92" i="49" s="1"/>
  <c r="AR82" i="49"/>
  <c r="Q82" i="49" s="1"/>
  <c r="AR121" i="49"/>
  <c r="V121" i="49" s="1"/>
  <c r="AR111" i="49"/>
  <c r="I111" i="49" s="1"/>
  <c r="AR101" i="49"/>
  <c r="Y101" i="49" s="1"/>
  <c r="AR91" i="49"/>
  <c r="U91" i="49" s="1"/>
  <c r="AR61" i="49"/>
  <c r="I61" i="49" s="1"/>
  <c r="AR51" i="49"/>
  <c r="Z51" i="49" s="1"/>
  <c r="AR21" i="49"/>
  <c r="F21" i="49" s="1"/>
  <c r="AR54" i="49"/>
  <c r="M54" i="49" s="1"/>
  <c r="AR64" i="49"/>
  <c r="I64" i="49" s="1"/>
  <c r="AR44" i="49"/>
  <c r="R44" i="49" s="1"/>
  <c r="AR77" i="49"/>
  <c r="F77" i="49" s="1"/>
  <c r="AR67" i="49"/>
  <c r="F67" i="49" s="1"/>
  <c r="AR47" i="49"/>
  <c r="AR37" i="49"/>
  <c r="N37" i="49" s="1"/>
  <c r="AR17" i="49"/>
  <c r="N17" i="49" s="1"/>
  <c r="M57" i="49"/>
  <c r="AR126" i="49"/>
  <c r="U126" i="49" s="1"/>
  <c r="AR46" i="49"/>
  <c r="I46" i="49" s="1"/>
  <c r="AR36" i="49"/>
  <c r="Q36" i="49" s="1"/>
  <c r="AR26" i="49"/>
  <c r="Q26" i="49" s="1"/>
  <c r="D7" i="49"/>
  <c r="C8" i="49"/>
  <c r="S93" i="41"/>
  <c r="W86" i="41"/>
  <c r="S46" i="41"/>
  <c r="X45" i="41"/>
  <c r="N47" i="49"/>
  <c r="F47" i="49"/>
  <c r="N77" i="49"/>
  <c r="U77" i="49"/>
  <c r="Q108" i="49"/>
  <c r="AR127" i="49"/>
  <c r="N127" i="49" s="1"/>
  <c r="AR117" i="49"/>
  <c r="R117" i="49" s="1"/>
  <c r="AR107" i="49"/>
  <c r="J107" i="49" s="1"/>
  <c r="AR97" i="49"/>
  <c r="R97" i="49" s="1"/>
  <c r="AR87" i="49"/>
  <c r="R87" i="49" s="1"/>
  <c r="AR27" i="49"/>
  <c r="N27" i="49" s="1"/>
  <c r="M108" i="49"/>
  <c r="E57" i="49"/>
  <c r="I98" i="49"/>
  <c r="AR76" i="49"/>
  <c r="N76" i="49" s="1"/>
  <c r="AR66" i="49"/>
  <c r="N66" i="49" s="1"/>
  <c r="AR16" i="49"/>
  <c r="Q16" i="49" s="1"/>
  <c r="N97" i="49"/>
  <c r="I97" i="49"/>
  <c r="E97" i="49"/>
  <c r="N87" i="49"/>
  <c r="Y87" i="49"/>
  <c r="M13" i="49"/>
  <c r="F49" i="49"/>
  <c r="I48" i="49"/>
  <c r="N116" i="49"/>
  <c r="I47" i="49"/>
  <c r="Y108" i="49"/>
  <c r="E98" i="49"/>
  <c r="Y88" i="49"/>
  <c r="AR72" i="49"/>
  <c r="Q72" i="49" s="1"/>
  <c r="AR62" i="49"/>
  <c r="U62" i="49" s="1"/>
  <c r="AR52" i="49"/>
  <c r="Y52" i="49" s="1"/>
  <c r="AR42" i="49"/>
  <c r="Y42" i="49" s="1"/>
  <c r="AR32" i="49"/>
  <c r="J32" i="49" s="1"/>
  <c r="AR22" i="49"/>
  <c r="E22" i="49" s="1"/>
  <c r="C7" i="49"/>
  <c r="AR12" i="49"/>
  <c r="Q12" i="49" s="1"/>
  <c r="Q68" i="49"/>
  <c r="E99" i="49"/>
  <c r="M68" i="49"/>
  <c r="Y107" i="49"/>
  <c r="R48" i="49"/>
  <c r="M58" i="49"/>
  <c r="R47" i="49"/>
  <c r="Z87" i="49"/>
  <c r="I101" i="49"/>
  <c r="Y121" i="49"/>
  <c r="E91" i="49"/>
  <c r="I51" i="49"/>
  <c r="U92" i="49"/>
  <c r="E58" i="49"/>
  <c r="I50" i="49"/>
  <c r="F79" i="49"/>
  <c r="V91" i="49"/>
  <c r="F73" i="49"/>
  <c r="R82" i="49"/>
  <c r="Q123" i="49"/>
  <c r="E84" i="49"/>
  <c r="I91" i="49"/>
  <c r="Q42" i="49"/>
  <c r="V41" i="49"/>
  <c r="U51" i="49"/>
  <c r="I123" i="49"/>
  <c r="I71" i="49"/>
  <c r="F118" i="49"/>
  <c r="R92" i="49"/>
  <c r="U102" i="49"/>
  <c r="V38" i="49"/>
  <c r="Y58" i="49"/>
  <c r="U61" i="49"/>
  <c r="I43" i="49"/>
  <c r="E41" i="49"/>
  <c r="I41" i="49"/>
  <c r="M53" i="49"/>
  <c r="I122" i="49"/>
  <c r="I53" i="49"/>
  <c r="M113" i="49"/>
  <c r="V98" i="49"/>
  <c r="Z57" i="49"/>
  <c r="E120" i="49"/>
  <c r="U120" i="49"/>
  <c r="U49" i="49"/>
  <c r="E79" i="49"/>
  <c r="Q80" i="49"/>
  <c r="F38" i="49"/>
  <c r="Z100" i="49"/>
  <c r="M98" i="49"/>
  <c r="F68" i="49"/>
  <c r="Q79" i="49"/>
  <c r="Z119" i="49"/>
  <c r="I58" i="49"/>
  <c r="F99" i="49"/>
  <c r="Q97" i="49"/>
  <c r="Q78" i="49"/>
  <c r="Q57" i="49"/>
  <c r="Q38" i="49"/>
  <c r="U89" i="49"/>
  <c r="U57" i="49"/>
  <c r="V40" i="49"/>
  <c r="Y98" i="49"/>
  <c r="Y48" i="49"/>
  <c r="E80" i="49"/>
  <c r="E119" i="49"/>
  <c r="F109" i="49"/>
  <c r="F39" i="49"/>
  <c r="E48" i="49"/>
  <c r="Q119" i="49"/>
  <c r="Y78" i="49"/>
  <c r="Q98" i="49"/>
  <c r="V108" i="49"/>
  <c r="Z50" i="49"/>
  <c r="E90" i="49"/>
  <c r="Q118" i="49"/>
  <c r="R38" i="49"/>
  <c r="U59" i="49"/>
  <c r="F97" i="49"/>
  <c r="R50" i="49"/>
  <c r="V128" i="49"/>
  <c r="V101" i="49"/>
  <c r="V88" i="49"/>
  <c r="V53" i="49"/>
  <c r="U40" i="49"/>
  <c r="Z97" i="49"/>
  <c r="Z71" i="49"/>
  <c r="Z47" i="49"/>
  <c r="V120" i="49"/>
  <c r="Y60" i="49"/>
  <c r="V48" i="49"/>
  <c r="E118" i="49"/>
  <c r="I119" i="49"/>
  <c r="F108" i="49"/>
  <c r="R79" i="49"/>
  <c r="Y57" i="49"/>
  <c r="I118" i="49"/>
  <c r="R118" i="49"/>
  <c r="R40" i="49"/>
  <c r="V59" i="49"/>
  <c r="Z77" i="49"/>
  <c r="E116" i="49"/>
  <c r="E69" i="49"/>
  <c r="I89" i="49"/>
  <c r="M97" i="49"/>
  <c r="J18" i="49"/>
  <c r="R57" i="49"/>
  <c r="V89" i="49"/>
  <c r="Y118" i="49"/>
  <c r="Y50" i="49"/>
  <c r="E68" i="49"/>
  <c r="I109" i="49"/>
  <c r="I57" i="49"/>
  <c r="F59" i="49"/>
  <c r="E110" i="49"/>
  <c r="E88" i="49"/>
  <c r="E38" i="49"/>
  <c r="I87" i="49"/>
  <c r="M47" i="49"/>
  <c r="E128" i="49"/>
  <c r="E109" i="49"/>
  <c r="E87" i="49"/>
  <c r="E60" i="49"/>
  <c r="I128" i="49"/>
  <c r="I78" i="49"/>
  <c r="M128" i="49"/>
  <c r="M78" i="49"/>
  <c r="M38" i="49"/>
  <c r="F88" i="49"/>
  <c r="F57" i="49"/>
  <c r="J105" i="49"/>
  <c r="R128" i="49"/>
  <c r="R109" i="49"/>
  <c r="R90" i="49"/>
  <c r="Q69" i="49"/>
  <c r="Q50" i="49"/>
  <c r="U101" i="49"/>
  <c r="V79" i="49"/>
  <c r="V39" i="49"/>
  <c r="Y97" i="49"/>
  <c r="Y47" i="49"/>
  <c r="E49" i="49"/>
  <c r="I70" i="49"/>
  <c r="R119" i="49"/>
  <c r="V118" i="49"/>
  <c r="E78" i="49"/>
  <c r="I68" i="49"/>
  <c r="F69" i="49"/>
  <c r="Q99" i="49"/>
  <c r="R59" i="49"/>
  <c r="V90" i="49"/>
  <c r="V60" i="49"/>
  <c r="U47" i="49"/>
  <c r="Z120" i="49"/>
  <c r="E47" i="49"/>
  <c r="J19" i="49"/>
  <c r="Q58" i="49"/>
  <c r="U90" i="49"/>
  <c r="Y100" i="49"/>
  <c r="R78" i="49"/>
  <c r="Z99" i="49"/>
  <c r="E89" i="49"/>
  <c r="E40" i="49"/>
  <c r="I88" i="49"/>
  <c r="I40" i="49"/>
  <c r="M48" i="49"/>
  <c r="J17" i="49"/>
  <c r="I108" i="49"/>
  <c r="I38" i="49"/>
  <c r="M86" i="49"/>
  <c r="F89" i="49"/>
  <c r="F58" i="49"/>
  <c r="J123" i="49"/>
  <c r="E127" i="49"/>
  <c r="E108" i="49"/>
  <c r="E86" i="49"/>
  <c r="E59" i="49"/>
  <c r="I77" i="49"/>
  <c r="F87" i="49"/>
  <c r="F56" i="49"/>
  <c r="J104" i="49"/>
  <c r="Q128" i="49"/>
  <c r="R108" i="49"/>
  <c r="R88" i="49"/>
  <c r="R68" i="49"/>
  <c r="Q49" i="49"/>
  <c r="U121" i="49"/>
  <c r="U99" i="49"/>
  <c r="V78" i="49"/>
  <c r="V51" i="49"/>
  <c r="U39" i="49"/>
  <c r="Z91" i="49"/>
  <c r="Z60" i="49"/>
  <c r="E96" i="49"/>
  <c r="N86" i="49"/>
  <c r="F46" i="49"/>
  <c r="Y86" i="49"/>
  <c r="R100" i="49"/>
  <c r="U71" i="49"/>
  <c r="Y106" i="49"/>
  <c r="Y96" i="49"/>
  <c r="Z85" i="49"/>
  <c r="Z70" i="49"/>
  <c r="Z56" i="49"/>
  <c r="Y43" i="49"/>
  <c r="F116" i="49"/>
  <c r="Q92" i="49"/>
  <c r="F86" i="49"/>
  <c r="Q62" i="49"/>
  <c r="V116" i="49"/>
  <c r="E106" i="49"/>
  <c r="I116" i="49"/>
  <c r="I65" i="49"/>
  <c r="E101" i="49"/>
  <c r="E71" i="49"/>
  <c r="E56" i="49"/>
  <c r="I115" i="49"/>
  <c r="I80" i="49"/>
  <c r="M96" i="49"/>
  <c r="M34" i="49"/>
  <c r="F103" i="49"/>
  <c r="F84" i="49"/>
  <c r="J46" i="49"/>
  <c r="N46" i="49"/>
  <c r="Q112" i="49"/>
  <c r="Q100" i="49"/>
  <c r="Q88" i="49"/>
  <c r="Q77" i="49"/>
  <c r="Q60" i="49"/>
  <c r="Q48" i="49"/>
  <c r="V126" i="49"/>
  <c r="V110" i="49"/>
  <c r="U97" i="49"/>
  <c r="U87" i="49"/>
  <c r="V70" i="49"/>
  <c r="V58" i="49"/>
  <c r="V46" i="49"/>
  <c r="Y128" i="49"/>
  <c r="Y115" i="49"/>
  <c r="Y93" i="49"/>
  <c r="Y68" i="49"/>
  <c r="Y56" i="49"/>
  <c r="F96" i="49"/>
  <c r="N106" i="49"/>
  <c r="E46" i="49"/>
  <c r="I56" i="49"/>
  <c r="E94" i="49"/>
  <c r="J86" i="49"/>
  <c r="E93" i="49"/>
  <c r="Q104" i="49"/>
  <c r="Z106" i="49"/>
  <c r="I82" i="49"/>
  <c r="J56" i="49"/>
  <c r="R60" i="49"/>
  <c r="Y20" i="49"/>
  <c r="I96" i="49"/>
  <c r="M93" i="49"/>
  <c r="J44" i="49"/>
  <c r="Q124" i="49"/>
  <c r="R110" i="49"/>
  <c r="Q73" i="49"/>
  <c r="V109" i="49"/>
  <c r="V96" i="49"/>
  <c r="U86" i="49"/>
  <c r="U70" i="49"/>
  <c r="U46" i="49"/>
  <c r="Z112" i="49"/>
  <c r="Y102" i="49"/>
  <c r="M46" i="49"/>
  <c r="F45" i="49"/>
  <c r="Z86" i="49"/>
  <c r="I26" i="49"/>
  <c r="V71" i="49"/>
  <c r="F85" i="49"/>
  <c r="E100" i="49"/>
  <c r="E70" i="49"/>
  <c r="E51" i="49"/>
  <c r="I112" i="49"/>
  <c r="M33" i="49"/>
  <c r="I125" i="49"/>
  <c r="I93" i="49"/>
  <c r="I60" i="49"/>
  <c r="M118" i="49"/>
  <c r="M55" i="49"/>
  <c r="F128" i="49"/>
  <c r="F98" i="49"/>
  <c r="F78" i="49"/>
  <c r="N123" i="49"/>
  <c r="Q110" i="49"/>
  <c r="R98" i="49"/>
  <c r="Q87" i="49"/>
  <c r="R69" i="49"/>
  <c r="R58" i="49"/>
  <c r="Q47" i="49"/>
  <c r="U109" i="49"/>
  <c r="U80" i="49"/>
  <c r="V68" i="49"/>
  <c r="U55" i="49"/>
  <c r="Y112" i="49"/>
  <c r="Z101" i="49"/>
  <c r="Y80" i="49"/>
  <c r="Y51" i="49"/>
  <c r="Z41" i="49"/>
  <c r="V105" i="49"/>
  <c r="I105" i="49"/>
  <c r="M105" i="49"/>
  <c r="Y105" i="49"/>
  <c r="R105" i="49"/>
  <c r="F105" i="49"/>
  <c r="R65" i="49"/>
  <c r="E65" i="49"/>
  <c r="F65" i="49"/>
  <c r="M65" i="49"/>
  <c r="Q65" i="49"/>
  <c r="J65" i="49"/>
  <c r="F35" i="49"/>
  <c r="R35" i="49"/>
  <c r="Y114" i="49"/>
  <c r="Q114" i="49"/>
  <c r="R114" i="49"/>
  <c r="F114" i="49"/>
  <c r="U114" i="49"/>
  <c r="J114" i="49"/>
  <c r="M114" i="49"/>
  <c r="Z114" i="49"/>
  <c r="I114" i="49"/>
  <c r="Y54" i="49"/>
  <c r="Z54" i="49"/>
  <c r="U54" i="49"/>
  <c r="J54" i="49"/>
  <c r="V54" i="49"/>
  <c r="U74" i="49"/>
  <c r="E125" i="49"/>
  <c r="E54" i="49"/>
  <c r="M44" i="49"/>
  <c r="F54" i="49"/>
  <c r="Q105" i="49"/>
  <c r="Q85" i="49"/>
  <c r="Q54" i="49"/>
  <c r="Y63" i="49"/>
  <c r="I54" i="49"/>
  <c r="F115" i="49"/>
  <c r="J113" i="49"/>
  <c r="N84" i="49"/>
  <c r="R125" i="49"/>
  <c r="R73" i="49"/>
  <c r="J95" i="49"/>
  <c r="Q95" i="49"/>
  <c r="N95" i="49"/>
  <c r="R95" i="49"/>
  <c r="F95" i="49"/>
  <c r="I95" i="49"/>
  <c r="U95" i="49"/>
  <c r="Y95" i="49"/>
  <c r="M95" i="49"/>
  <c r="E95" i="49"/>
  <c r="Z95" i="49"/>
  <c r="V55" i="49"/>
  <c r="Y55" i="49"/>
  <c r="Z55" i="49"/>
  <c r="R55" i="49"/>
  <c r="J55" i="49"/>
  <c r="F25" i="49"/>
  <c r="E25" i="49"/>
  <c r="Y94" i="49"/>
  <c r="Z94" i="49"/>
  <c r="F94" i="49"/>
  <c r="I94" i="49"/>
  <c r="U94" i="49"/>
  <c r="V94" i="49"/>
  <c r="J94" i="49"/>
  <c r="Q94" i="49"/>
  <c r="F64" i="49"/>
  <c r="Y64" i="49"/>
  <c r="Z64" i="49"/>
  <c r="Q64" i="49"/>
  <c r="M64" i="49"/>
  <c r="R64" i="49"/>
  <c r="J64" i="49"/>
  <c r="U64" i="49"/>
  <c r="E64" i="49"/>
  <c r="N64" i="49"/>
  <c r="E44" i="49"/>
  <c r="M75" i="49"/>
  <c r="Z113" i="49"/>
  <c r="N113" i="49"/>
  <c r="U113" i="49"/>
  <c r="E113" i="49"/>
  <c r="V113" i="49"/>
  <c r="F113" i="49"/>
  <c r="Y113" i="49"/>
  <c r="I113" i="49"/>
  <c r="Q113" i="49"/>
  <c r="Z83" i="49"/>
  <c r="U83" i="49"/>
  <c r="Q83" i="49"/>
  <c r="M83" i="49"/>
  <c r="I83" i="49"/>
  <c r="R83" i="49"/>
  <c r="F83" i="49"/>
  <c r="Y83" i="49"/>
  <c r="J83" i="49"/>
  <c r="E83" i="49"/>
  <c r="Z53" i="49"/>
  <c r="U53" i="49"/>
  <c r="Y53" i="49"/>
  <c r="F53" i="49"/>
  <c r="Q53" i="49"/>
  <c r="R53" i="49"/>
  <c r="E53" i="49"/>
  <c r="M23" i="49"/>
  <c r="I23" i="49"/>
  <c r="E115" i="49"/>
  <c r="E103" i="49"/>
  <c r="I75" i="49"/>
  <c r="N55" i="49"/>
  <c r="V115" i="49"/>
  <c r="F125" i="49"/>
  <c r="U125" i="49"/>
  <c r="N125" i="49"/>
  <c r="J125" i="49"/>
  <c r="V125" i="49"/>
  <c r="M125" i="49"/>
  <c r="Q125" i="49"/>
  <c r="N85" i="49"/>
  <c r="E85" i="49"/>
  <c r="Y85" i="49"/>
  <c r="M85" i="49"/>
  <c r="I85" i="49"/>
  <c r="U85" i="49"/>
  <c r="V85" i="49"/>
  <c r="J45" i="49"/>
  <c r="Q45" i="49"/>
  <c r="M45" i="49"/>
  <c r="R45" i="49"/>
  <c r="U45" i="49"/>
  <c r="N45" i="49"/>
  <c r="Y45" i="49"/>
  <c r="I45" i="49"/>
  <c r="E45" i="49"/>
  <c r="Z45" i="49"/>
  <c r="U65" i="49"/>
  <c r="E105" i="49"/>
  <c r="N65" i="49"/>
  <c r="Y104" i="49"/>
  <c r="N104" i="49"/>
  <c r="Z104" i="49"/>
  <c r="M104" i="49"/>
  <c r="U104" i="49"/>
  <c r="F104" i="49"/>
  <c r="V104" i="49"/>
  <c r="M74" i="49"/>
  <c r="Y74" i="49"/>
  <c r="Z74" i="49"/>
  <c r="V74" i="49"/>
  <c r="E74" i="49"/>
  <c r="N74" i="49"/>
  <c r="I74" i="49"/>
  <c r="R74" i="49"/>
  <c r="F74" i="49"/>
  <c r="V64" i="49"/>
  <c r="Y125" i="49"/>
  <c r="I25" i="49"/>
  <c r="N114" i="49"/>
  <c r="Z93" i="49"/>
  <c r="F93" i="49"/>
  <c r="U93" i="49"/>
  <c r="V93" i="49"/>
  <c r="J93" i="49"/>
  <c r="R93" i="49"/>
  <c r="N93" i="49"/>
  <c r="Z63" i="49"/>
  <c r="N63" i="49"/>
  <c r="U63" i="49"/>
  <c r="J63" i="49"/>
  <c r="F63" i="49"/>
  <c r="E63" i="49"/>
  <c r="I63" i="49"/>
  <c r="V63" i="49"/>
  <c r="Q63" i="49"/>
  <c r="E114" i="49"/>
  <c r="J74" i="49"/>
  <c r="N105" i="49"/>
  <c r="N54" i="49"/>
  <c r="Q55" i="49"/>
  <c r="V83" i="49"/>
  <c r="Z65" i="49"/>
  <c r="Z115" i="49"/>
  <c r="R115" i="49"/>
  <c r="Q115" i="49"/>
  <c r="N115" i="49"/>
  <c r="J115" i="49"/>
  <c r="M115" i="49"/>
  <c r="Z75" i="49"/>
  <c r="U75" i="49"/>
  <c r="E75" i="49"/>
  <c r="V75" i="49"/>
  <c r="N75" i="49"/>
  <c r="Q75" i="49"/>
  <c r="F75" i="49"/>
  <c r="M124" i="49"/>
  <c r="Y124" i="49"/>
  <c r="V124" i="49"/>
  <c r="N124" i="49"/>
  <c r="J124" i="49"/>
  <c r="E124" i="49"/>
  <c r="R124" i="49"/>
  <c r="I124" i="49"/>
  <c r="Y84" i="49"/>
  <c r="Z84" i="49"/>
  <c r="R84" i="49"/>
  <c r="M84" i="49"/>
  <c r="I84" i="49"/>
  <c r="Q84" i="49"/>
  <c r="J84" i="49"/>
  <c r="Z44" i="49"/>
  <c r="U44" i="49"/>
  <c r="N44" i="49"/>
  <c r="V44" i="49"/>
  <c r="Q44" i="49"/>
  <c r="F44" i="49"/>
  <c r="J24" i="49"/>
  <c r="I24" i="49"/>
  <c r="E104" i="49"/>
  <c r="Z123" i="49"/>
  <c r="U123" i="49"/>
  <c r="Y123" i="49"/>
  <c r="M123" i="49"/>
  <c r="E123" i="49"/>
  <c r="V123" i="49"/>
  <c r="F123" i="49"/>
  <c r="Z103" i="49"/>
  <c r="U103" i="49"/>
  <c r="R103" i="49"/>
  <c r="J103" i="49"/>
  <c r="Y103" i="49"/>
  <c r="M103" i="49"/>
  <c r="Q103" i="49"/>
  <c r="N103" i="49"/>
  <c r="I103" i="49"/>
  <c r="Z73" i="49"/>
  <c r="J73" i="49"/>
  <c r="E73" i="49"/>
  <c r="U73" i="49"/>
  <c r="N73" i="49"/>
  <c r="I73" i="49"/>
  <c r="Y73" i="49"/>
  <c r="V73" i="49"/>
  <c r="Z43" i="49"/>
  <c r="U43" i="49"/>
  <c r="V43" i="49"/>
  <c r="N43" i="49"/>
  <c r="J43" i="49"/>
  <c r="R43" i="49"/>
  <c r="F43" i="49"/>
  <c r="M43" i="49"/>
  <c r="U105" i="49"/>
  <c r="V95" i="49"/>
  <c r="V84" i="49"/>
  <c r="Z124" i="49"/>
  <c r="E55" i="49"/>
  <c r="I104" i="49"/>
  <c r="I44" i="49"/>
  <c r="M94" i="49"/>
  <c r="F55" i="49"/>
  <c r="N94" i="49"/>
  <c r="N53" i="49"/>
  <c r="R85" i="49"/>
  <c r="R75" i="49"/>
  <c r="R63" i="49"/>
  <c r="R54" i="49"/>
  <c r="Q43" i="49"/>
  <c r="U124" i="49"/>
  <c r="V114" i="49"/>
  <c r="Y75" i="49"/>
  <c r="Y65" i="49"/>
  <c r="I102" i="49"/>
  <c r="Q126" i="49"/>
  <c r="J116" i="49"/>
  <c r="Q116" i="49"/>
  <c r="R116" i="49"/>
  <c r="J106" i="49"/>
  <c r="Q106" i="49"/>
  <c r="F106" i="49"/>
  <c r="M106" i="49"/>
  <c r="R106" i="49"/>
  <c r="J96" i="49"/>
  <c r="Q96" i="49"/>
  <c r="R96" i="49"/>
  <c r="Q86" i="49"/>
  <c r="R86" i="49"/>
  <c r="Q56" i="49"/>
  <c r="M56" i="49"/>
  <c r="R56" i="49"/>
  <c r="Q46" i="49"/>
  <c r="R46" i="49"/>
  <c r="R80" i="49"/>
  <c r="R62" i="49"/>
  <c r="U122" i="49"/>
  <c r="U116" i="49"/>
  <c r="U110" i="49"/>
  <c r="U72" i="49"/>
  <c r="U60" i="49"/>
  <c r="Z80" i="49"/>
  <c r="Z72" i="49"/>
  <c r="E112" i="49"/>
  <c r="V112" i="49"/>
  <c r="E82" i="49"/>
  <c r="V82" i="49"/>
  <c r="E52" i="49"/>
  <c r="V52" i="49"/>
  <c r="R72" i="49"/>
  <c r="Z62" i="49"/>
  <c r="I62" i="49"/>
  <c r="F121" i="49"/>
  <c r="Q121" i="49"/>
  <c r="R121" i="49"/>
  <c r="F111" i="49"/>
  <c r="J101" i="49"/>
  <c r="Q101" i="49"/>
  <c r="R101" i="49"/>
  <c r="F91" i="49"/>
  <c r="Q91" i="49"/>
  <c r="R91" i="49"/>
  <c r="F71" i="49"/>
  <c r="Q71" i="49"/>
  <c r="R71" i="49"/>
  <c r="J61" i="49"/>
  <c r="Q61" i="49"/>
  <c r="E61" i="49"/>
  <c r="R61" i="49"/>
  <c r="F51" i="49"/>
  <c r="Q51" i="49"/>
  <c r="R51" i="49"/>
  <c r="F41" i="49"/>
  <c r="Q41" i="49"/>
  <c r="R41" i="49"/>
  <c r="Q122" i="49"/>
  <c r="Q40" i="49"/>
  <c r="V119" i="49"/>
  <c r="V106" i="49"/>
  <c r="V69" i="49"/>
  <c r="V56" i="49"/>
  <c r="Z116" i="49"/>
  <c r="Y91" i="49"/>
  <c r="Y70" i="49"/>
  <c r="Y62" i="49"/>
  <c r="Y41" i="49"/>
  <c r="E122" i="49"/>
  <c r="V122" i="49"/>
  <c r="E92" i="49"/>
  <c r="V92" i="49"/>
  <c r="E72" i="49"/>
  <c r="V72" i="49"/>
  <c r="R122" i="49"/>
  <c r="I72" i="49"/>
  <c r="N96" i="49"/>
  <c r="F120" i="49"/>
  <c r="I120" i="49"/>
  <c r="F110" i="49"/>
  <c r="I110" i="49"/>
  <c r="F100" i="49"/>
  <c r="I100" i="49"/>
  <c r="F90" i="49"/>
  <c r="I90" i="49"/>
  <c r="F50" i="49"/>
  <c r="E50" i="49"/>
  <c r="R120" i="49"/>
  <c r="R70" i="49"/>
  <c r="U112" i="49"/>
  <c r="U106" i="49"/>
  <c r="U100" i="49"/>
  <c r="U56" i="49"/>
  <c r="U50" i="49"/>
  <c r="Y122" i="49"/>
  <c r="Y116" i="49"/>
  <c r="Y110" i="49"/>
  <c r="Z90" i="49"/>
  <c r="Z82" i="49"/>
  <c r="Z61" i="49"/>
  <c r="Z40" i="49"/>
  <c r="E102" i="49"/>
  <c r="V102" i="49"/>
  <c r="E62" i="49"/>
  <c r="V62" i="49"/>
  <c r="U82" i="49"/>
  <c r="M119" i="49"/>
  <c r="F119" i="49"/>
  <c r="Y119" i="49"/>
  <c r="M109" i="49"/>
  <c r="Y109" i="49"/>
  <c r="M99" i="49"/>
  <c r="Y99" i="49"/>
  <c r="M89" i="49"/>
  <c r="Y89" i="49"/>
  <c r="Z89" i="49"/>
  <c r="M79" i="49"/>
  <c r="I79" i="49"/>
  <c r="Y79" i="49"/>
  <c r="Z79" i="49"/>
  <c r="M69" i="49"/>
  <c r="I69" i="49"/>
  <c r="Y69" i="49"/>
  <c r="Z69" i="49"/>
  <c r="M59" i="49"/>
  <c r="I59" i="49"/>
  <c r="Y59" i="49"/>
  <c r="Z59" i="49"/>
  <c r="M49" i="49"/>
  <c r="I49" i="49"/>
  <c r="Y49" i="49"/>
  <c r="Z49" i="49"/>
  <c r="M39" i="49"/>
  <c r="I39" i="49"/>
  <c r="E39" i="49"/>
  <c r="Y39" i="49"/>
  <c r="Z39" i="49"/>
  <c r="Q120" i="49"/>
  <c r="Q102" i="49"/>
  <c r="Q89" i="49"/>
  <c r="Q70" i="49"/>
  <c r="Q52" i="49"/>
  <c r="Q39" i="49"/>
  <c r="V99" i="49"/>
  <c r="V86" i="49"/>
  <c r="V80" i="49"/>
  <c r="V61" i="49"/>
  <c r="V49" i="49"/>
  <c r="Z121" i="49"/>
  <c r="Z109" i="49"/>
  <c r="Z102" i="49"/>
  <c r="Z96" i="49"/>
  <c r="Y90" i="49"/>
  <c r="Y82" i="49"/>
  <c r="Y61" i="49"/>
  <c r="Z46" i="49"/>
  <c r="Y40" i="49"/>
  <c r="U128" i="49"/>
  <c r="U118" i="49"/>
  <c r="U108" i="49"/>
  <c r="U98" i="49"/>
  <c r="U88" i="49"/>
  <c r="U78" i="49"/>
  <c r="U68" i="49"/>
  <c r="U58" i="49"/>
  <c r="U48" i="49"/>
  <c r="U38" i="49"/>
  <c r="M88" i="49"/>
  <c r="F48" i="49"/>
  <c r="V97" i="49"/>
  <c r="V87" i="49"/>
  <c r="V77" i="49"/>
  <c r="V67" i="49"/>
  <c r="V57" i="49"/>
  <c r="V47" i="49"/>
  <c r="Z128" i="49"/>
  <c r="Z118" i="49"/>
  <c r="Z108" i="49"/>
  <c r="Z98" i="49"/>
  <c r="Z88" i="49"/>
  <c r="Z78" i="49"/>
  <c r="Z68" i="49"/>
  <c r="Z58" i="49"/>
  <c r="Z48" i="49"/>
  <c r="R27" i="49"/>
  <c r="J36" i="49"/>
  <c r="R25" i="49"/>
  <c r="J35" i="49"/>
  <c r="I14" i="49"/>
  <c r="M27" i="49"/>
  <c r="J34" i="49"/>
  <c r="I35" i="49"/>
  <c r="I13" i="49"/>
  <c r="F24" i="49"/>
  <c r="J33" i="49"/>
  <c r="J37" i="49"/>
  <c r="I36" i="49"/>
  <c r="R15" i="49"/>
  <c r="I34" i="49"/>
  <c r="F23" i="49"/>
  <c r="J27" i="49"/>
  <c r="Y28" i="49"/>
  <c r="I33" i="49"/>
  <c r="J23" i="49"/>
  <c r="R37" i="49"/>
  <c r="V28" i="49"/>
  <c r="Q27" i="49"/>
  <c r="I15" i="49"/>
  <c r="Q17" i="49"/>
  <c r="Z37" i="49"/>
  <c r="Q37" i="49"/>
  <c r="U28" i="49"/>
  <c r="V20" i="49"/>
  <c r="R29" i="49"/>
  <c r="Q19" i="49"/>
  <c r="V30" i="49"/>
  <c r="V19" i="49"/>
  <c r="I31" i="49"/>
  <c r="Q30" i="49"/>
  <c r="U31" i="49"/>
  <c r="I30" i="49"/>
  <c r="I19" i="49"/>
  <c r="M17" i="49"/>
  <c r="I29" i="49"/>
  <c r="I18" i="49"/>
  <c r="Q29" i="49"/>
  <c r="R18" i="49"/>
  <c r="U30" i="49"/>
  <c r="U19" i="49"/>
  <c r="V21" i="49"/>
  <c r="M28" i="49"/>
  <c r="R20" i="49"/>
  <c r="U21" i="49"/>
  <c r="I21" i="49"/>
  <c r="R30" i="49"/>
  <c r="Q20" i="49"/>
  <c r="V31" i="49"/>
  <c r="I20" i="49"/>
  <c r="M18" i="49"/>
  <c r="R19" i="49"/>
  <c r="U20" i="49"/>
  <c r="I28" i="49"/>
  <c r="I17" i="49"/>
  <c r="M37" i="49"/>
  <c r="J29" i="49"/>
  <c r="R28" i="49"/>
  <c r="Q18" i="49"/>
  <c r="V29" i="49"/>
  <c r="V18" i="49"/>
  <c r="I37" i="49"/>
  <c r="I27" i="49"/>
  <c r="I16" i="49"/>
  <c r="M36" i="49"/>
  <c r="J28" i="49"/>
  <c r="Q28" i="49"/>
  <c r="R17" i="49"/>
  <c r="U29" i="49"/>
  <c r="U18" i="49"/>
  <c r="F14" i="49"/>
  <c r="N23" i="49"/>
  <c r="R33" i="49"/>
  <c r="R23" i="49"/>
  <c r="R13" i="49"/>
  <c r="V14" i="49"/>
  <c r="J15" i="49"/>
  <c r="N15" i="49"/>
  <c r="Q33" i="49"/>
  <c r="Q23" i="49"/>
  <c r="Q13" i="49"/>
  <c r="U34" i="49"/>
  <c r="U24" i="49"/>
  <c r="U14" i="49"/>
  <c r="Q25" i="49"/>
  <c r="R24" i="49"/>
  <c r="M15" i="49"/>
  <c r="U35" i="49"/>
  <c r="F13" i="49"/>
  <c r="E36" i="49"/>
  <c r="E14" i="49"/>
  <c r="M26" i="49"/>
  <c r="F36" i="49"/>
  <c r="J14" i="49"/>
  <c r="N36" i="49"/>
  <c r="N14" i="49"/>
  <c r="V33" i="49"/>
  <c r="V23" i="49"/>
  <c r="V13" i="49"/>
  <c r="N25" i="49"/>
  <c r="Q35" i="49"/>
  <c r="Q34" i="49"/>
  <c r="M14" i="49"/>
  <c r="V24" i="49"/>
  <c r="E35" i="49"/>
  <c r="E13" i="49"/>
  <c r="M25" i="49"/>
  <c r="F34" i="49"/>
  <c r="J26" i="49"/>
  <c r="J13" i="49"/>
  <c r="N35" i="49"/>
  <c r="N13" i="49"/>
  <c r="U33" i="49"/>
  <c r="U23" i="49"/>
  <c r="N26" i="49"/>
  <c r="V36" i="49"/>
  <c r="V26" i="49"/>
  <c r="Q15" i="49"/>
  <c r="U36" i="49"/>
  <c r="U26" i="49"/>
  <c r="U16" i="49"/>
  <c r="Z26" i="49"/>
  <c r="Q14" i="49"/>
  <c r="U25" i="49"/>
  <c r="U15" i="49"/>
  <c r="Z36" i="49"/>
  <c r="E34" i="49"/>
  <c r="M24" i="49"/>
  <c r="F33" i="49"/>
  <c r="J25" i="49"/>
  <c r="N34" i="49"/>
  <c r="R36" i="49"/>
  <c r="R31" i="49"/>
  <c r="R26" i="49"/>
  <c r="R21" i="49"/>
  <c r="V37" i="49"/>
  <c r="V27" i="49"/>
  <c r="V22" i="49"/>
  <c r="V17" i="49"/>
  <c r="Z38" i="49"/>
  <c r="N24" i="49"/>
  <c r="R34" i="49"/>
  <c r="V35" i="49"/>
  <c r="V25" i="49"/>
  <c r="V15" i="49"/>
  <c r="Q24" i="49"/>
  <c r="E15" i="49"/>
  <c r="E33" i="49"/>
  <c r="F26" i="49"/>
  <c r="Q31" i="49"/>
  <c r="Q21" i="49"/>
  <c r="U37" i="49"/>
  <c r="U27" i="49"/>
  <c r="U17" i="49"/>
  <c r="Y38" i="49"/>
  <c r="F20" i="49"/>
  <c r="J92" i="49"/>
  <c r="J91" i="49"/>
  <c r="J41" i="49"/>
  <c r="N92" i="49"/>
  <c r="N52" i="49"/>
  <c r="F28" i="49"/>
  <c r="F18" i="49"/>
  <c r="J120" i="49"/>
  <c r="J110" i="49"/>
  <c r="J100" i="49"/>
  <c r="J90" i="49"/>
  <c r="J80" i="49"/>
  <c r="J70" i="49"/>
  <c r="J60" i="49"/>
  <c r="J50" i="49"/>
  <c r="J40" i="49"/>
  <c r="N121" i="49"/>
  <c r="N101" i="49"/>
  <c r="N91" i="49"/>
  <c r="N71" i="49"/>
  <c r="N61" i="49"/>
  <c r="N51" i="49"/>
  <c r="N41" i="49"/>
  <c r="N31" i="49"/>
  <c r="N21" i="49"/>
  <c r="F31" i="49"/>
  <c r="J102" i="49"/>
  <c r="J62" i="49"/>
  <c r="E31" i="49"/>
  <c r="F29" i="49"/>
  <c r="J71" i="49"/>
  <c r="N122" i="49"/>
  <c r="N72" i="49"/>
  <c r="N42" i="49"/>
  <c r="E29" i="49"/>
  <c r="E19" i="49"/>
  <c r="M122" i="49"/>
  <c r="M112" i="49"/>
  <c r="M102" i="49"/>
  <c r="M92" i="49"/>
  <c r="M82" i="49"/>
  <c r="M72" i="49"/>
  <c r="M62" i="49"/>
  <c r="M52" i="49"/>
  <c r="F37" i="49"/>
  <c r="F27" i="49"/>
  <c r="F17" i="49"/>
  <c r="J119" i="49"/>
  <c r="J109" i="49"/>
  <c r="J99" i="49"/>
  <c r="J89" i="49"/>
  <c r="J79" i="49"/>
  <c r="J69" i="49"/>
  <c r="J59" i="49"/>
  <c r="J49" i="49"/>
  <c r="J39" i="49"/>
  <c r="N120" i="49"/>
  <c r="N110" i="49"/>
  <c r="N100" i="49"/>
  <c r="N90" i="49"/>
  <c r="N80" i="49"/>
  <c r="N70" i="49"/>
  <c r="N60" i="49"/>
  <c r="N50" i="49"/>
  <c r="N40" i="49"/>
  <c r="N30" i="49"/>
  <c r="N20" i="49"/>
  <c r="F30" i="49"/>
  <c r="J112" i="49"/>
  <c r="J52" i="49"/>
  <c r="Y30" i="49"/>
  <c r="E21" i="49"/>
  <c r="F19" i="49"/>
  <c r="J121" i="49"/>
  <c r="J51" i="49"/>
  <c r="N82" i="49"/>
  <c r="E20" i="49"/>
  <c r="E28" i="49"/>
  <c r="E18" i="49"/>
  <c r="M121" i="49"/>
  <c r="M101" i="49"/>
  <c r="M91" i="49"/>
  <c r="M71" i="49"/>
  <c r="M61" i="49"/>
  <c r="M51" i="49"/>
  <c r="M41" i="49"/>
  <c r="M31" i="49"/>
  <c r="M21" i="49"/>
  <c r="F122" i="49"/>
  <c r="F112" i="49"/>
  <c r="F102" i="49"/>
  <c r="F92" i="49"/>
  <c r="F82" i="49"/>
  <c r="F72" i="49"/>
  <c r="F62" i="49"/>
  <c r="F52" i="49"/>
  <c r="F42" i="49"/>
  <c r="J128" i="49"/>
  <c r="J118" i="49"/>
  <c r="J108" i="49"/>
  <c r="J98" i="49"/>
  <c r="J88" i="49"/>
  <c r="J78" i="49"/>
  <c r="J68" i="49"/>
  <c r="J58" i="49"/>
  <c r="J48" i="49"/>
  <c r="J38" i="49"/>
  <c r="N119" i="49"/>
  <c r="N109" i="49"/>
  <c r="N99" i="49"/>
  <c r="N89" i="49"/>
  <c r="N79" i="49"/>
  <c r="N69" i="49"/>
  <c r="N59" i="49"/>
  <c r="N49" i="49"/>
  <c r="N39" i="49"/>
  <c r="N29" i="49"/>
  <c r="N19" i="49"/>
  <c r="J122" i="49"/>
  <c r="J82" i="49"/>
  <c r="N112" i="49"/>
  <c r="E37" i="49"/>
  <c r="E27" i="49"/>
  <c r="E17" i="49"/>
  <c r="M120" i="49"/>
  <c r="M110" i="49"/>
  <c r="M100" i="49"/>
  <c r="M90" i="49"/>
  <c r="M80" i="49"/>
  <c r="M70" i="49"/>
  <c r="M60" i="49"/>
  <c r="M50" i="49"/>
  <c r="M40" i="49"/>
  <c r="M30" i="49"/>
  <c r="M20" i="49"/>
  <c r="F101" i="49"/>
  <c r="F61" i="49"/>
  <c r="J21" i="49"/>
  <c r="J97" i="49"/>
  <c r="J87" i="49"/>
  <c r="J77" i="49"/>
  <c r="J67" i="49"/>
  <c r="J57" i="49"/>
  <c r="J47" i="49"/>
  <c r="J72" i="49"/>
  <c r="N102" i="49"/>
  <c r="N62" i="49"/>
  <c r="E30" i="49"/>
  <c r="Y19" i="49"/>
  <c r="Y37" i="49"/>
  <c r="Y26" i="49"/>
  <c r="Y31" i="49"/>
  <c r="Y34" i="49"/>
  <c r="Y35" i="49"/>
  <c r="Y15" i="49"/>
  <c r="Z35" i="49"/>
  <c r="Z34" i="49"/>
  <c r="Z14" i="49"/>
  <c r="Y17" i="49"/>
  <c r="Z25" i="49"/>
  <c r="Y25" i="49"/>
  <c r="Y13" i="49"/>
  <c r="Y14" i="49"/>
  <c r="Z17" i="49"/>
  <c r="Y36" i="49"/>
  <c r="Z27" i="49"/>
  <c r="Y24" i="49"/>
  <c r="Z24" i="49"/>
  <c r="Y16" i="49"/>
  <c r="Y27" i="49"/>
  <c r="Z18" i="49"/>
  <c r="Y29" i="49"/>
  <c r="Y18" i="49"/>
  <c r="Z28" i="49"/>
  <c r="Z19" i="49"/>
  <c r="Z29" i="49"/>
  <c r="I12" i="49"/>
  <c r="Z13" i="49"/>
  <c r="Z23" i="49"/>
  <c r="Z33" i="49"/>
  <c r="Z20" i="49"/>
  <c r="Z21" i="49"/>
  <c r="F12" i="49"/>
  <c r="J12" i="49"/>
  <c r="Y21" i="49"/>
  <c r="Z30" i="49"/>
  <c r="Y12" i="49"/>
  <c r="Z12" i="49"/>
  <c r="Y23" i="49"/>
  <c r="Z15" i="49"/>
  <c r="Z31" i="49"/>
  <c r="Y33" i="49"/>
  <c r="N12" i="49"/>
  <c r="G97" i="41"/>
  <c r="G98" i="41"/>
  <c r="G95" i="41"/>
  <c r="H105" i="41"/>
  <c r="H83" i="41"/>
  <c r="G126" i="41"/>
  <c r="L56" i="41"/>
  <c r="G125" i="41"/>
  <c r="L55" i="41"/>
  <c r="G77" i="41"/>
  <c r="S126" i="41"/>
  <c r="G68" i="41"/>
  <c r="S125" i="41"/>
  <c r="G67" i="41"/>
  <c r="S106" i="41"/>
  <c r="G127" i="41"/>
  <c r="G37" i="41"/>
  <c r="S105" i="41"/>
  <c r="G73" i="41"/>
  <c r="H53" i="41"/>
  <c r="S73" i="41"/>
  <c r="K112" i="41"/>
  <c r="O103" i="41"/>
  <c r="K84" i="41"/>
  <c r="X28" i="41"/>
  <c r="K54" i="41"/>
  <c r="X27" i="41"/>
  <c r="X54" i="41"/>
  <c r="O22" i="41"/>
  <c r="S52" i="41"/>
  <c r="W32" i="41"/>
  <c r="K53" i="41"/>
  <c r="S113" i="41"/>
  <c r="X105" i="41"/>
  <c r="X53" i="41"/>
  <c r="K92" i="41"/>
  <c r="G62" i="41"/>
  <c r="O102" i="41"/>
  <c r="K83" i="41"/>
  <c r="G83" i="41"/>
  <c r="H103" i="41"/>
  <c r="L102" i="41"/>
  <c r="X103" i="41"/>
  <c r="W68" i="41"/>
  <c r="W116" i="41"/>
  <c r="W57" i="41"/>
  <c r="X84" i="41"/>
  <c r="W79" i="41"/>
  <c r="G118" i="41"/>
  <c r="W19" i="41"/>
  <c r="W78" i="41"/>
  <c r="G110" i="41"/>
  <c r="X96" i="41"/>
  <c r="G48" i="41"/>
  <c r="G107" i="41"/>
  <c r="G80" i="41"/>
  <c r="G47" i="41"/>
  <c r="G79" i="41"/>
  <c r="G39" i="41"/>
  <c r="W109" i="41"/>
  <c r="W56" i="41"/>
  <c r="W29" i="41"/>
  <c r="W28" i="41"/>
  <c r="G88" i="41"/>
  <c r="O18" i="41"/>
  <c r="W18" i="41"/>
  <c r="W69" i="41"/>
  <c r="G109" i="41"/>
  <c r="G58" i="41"/>
  <c r="X95" i="41"/>
  <c r="G108" i="41"/>
  <c r="H75" i="41"/>
  <c r="L115" i="41"/>
  <c r="S85" i="41"/>
  <c r="W118" i="41"/>
  <c r="W58" i="41"/>
  <c r="L114" i="41"/>
  <c r="G78" i="41"/>
  <c r="G38" i="41"/>
  <c r="L96" i="41"/>
  <c r="W108" i="41"/>
  <c r="W38" i="41"/>
  <c r="X55" i="41"/>
  <c r="G60" i="41"/>
  <c r="H62" i="41"/>
  <c r="L42" i="41"/>
  <c r="O72" i="41"/>
  <c r="S92" i="41"/>
  <c r="W31" i="41"/>
  <c r="W17" i="41"/>
  <c r="W107" i="41"/>
  <c r="W49" i="41"/>
  <c r="G119" i="41"/>
  <c r="G106" i="41"/>
  <c r="G92" i="41"/>
  <c r="G59" i="41"/>
  <c r="H125" i="41"/>
  <c r="K82" i="41"/>
  <c r="O32" i="41"/>
  <c r="S86" i="41"/>
  <c r="W30" i="41"/>
  <c r="W12" i="41"/>
  <c r="W106" i="41"/>
  <c r="W77" i="41"/>
  <c r="W48" i="41"/>
  <c r="X18" i="41"/>
  <c r="X46" i="41"/>
  <c r="W127" i="41"/>
  <c r="W99" i="41"/>
  <c r="G89" i="41"/>
  <c r="G57" i="41"/>
  <c r="O17" i="41"/>
  <c r="G116" i="41"/>
  <c r="G102" i="41"/>
  <c r="G72" i="41"/>
  <c r="G50" i="41"/>
  <c r="K52" i="41"/>
  <c r="L76" i="41"/>
  <c r="O12" i="41"/>
  <c r="S72" i="41"/>
  <c r="W27" i="41"/>
  <c r="W119" i="41"/>
  <c r="W97" i="41"/>
  <c r="W67" i="41"/>
  <c r="W47" i="41"/>
  <c r="X17" i="41"/>
  <c r="H52" i="41"/>
  <c r="W39" i="41"/>
  <c r="G100" i="41"/>
  <c r="G87" i="41"/>
  <c r="G70" i="41"/>
  <c r="G49" i="41"/>
  <c r="K122" i="41"/>
  <c r="L122" i="41"/>
  <c r="L75" i="41"/>
  <c r="O112" i="41"/>
  <c r="S66" i="41"/>
  <c r="W22" i="41"/>
  <c r="W89" i="41"/>
  <c r="W37" i="41"/>
  <c r="G90" i="41"/>
  <c r="H112" i="41"/>
  <c r="O42" i="41"/>
  <c r="G117" i="41"/>
  <c r="L82" i="41"/>
  <c r="G99" i="41"/>
  <c r="G69" i="41"/>
  <c r="H102" i="41"/>
  <c r="L62" i="41"/>
  <c r="S112" i="41"/>
  <c r="W21" i="41"/>
  <c r="W117" i="41"/>
  <c r="W88" i="41"/>
  <c r="W59" i="41"/>
  <c r="W20" i="41"/>
  <c r="W87" i="41"/>
  <c r="K124" i="41"/>
  <c r="L124" i="41"/>
  <c r="S124" i="41"/>
  <c r="O124" i="41"/>
  <c r="W124" i="41"/>
  <c r="H124" i="41"/>
  <c r="G124" i="41"/>
  <c r="S114" i="41"/>
  <c r="O114" i="41"/>
  <c r="H114" i="41"/>
  <c r="W114" i="41"/>
  <c r="K104" i="41"/>
  <c r="L104" i="41"/>
  <c r="S104" i="41"/>
  <c r="W104" i="41"/>
  <c r="S94" i="41"/>
  <c r="O94" i="41"/>
  <c r="K94" i="41"/>
  <c r="H94" i="41"/>
  <c r="W94" i="41"/>
  <c r="L84" i="41"/>
  <c r="O84" i="41"/>
  <c r="W84" i="41"/>
  <c r="S84" i="41"/>
  <c r="S74" i="41"/>
  <c r="G74" i="41"/>
  <c r="H74" i="41"/>
  <c r="K74" i="41"/>
  <c r="W74" i="41"/>
  <c r="L64" i="41"/>
  <c r="H64" i="41"/>
  <c r="G64" i="41"/>
  <c r="S64" i="41"/>
  <c r="K64" i="41"/>
  <c r="W64" i="41"/>
  <c r="S54" i="41"/>
  <c r="G54" i="41"/>
  <c r="O54" i="41"/>
  <c r="W54" i="41"/>
  <c r="O44" i="41"/>
  <c r="L44" i="41"/>
  <c r="S44" i="41"/>
  <c r="H44" i="41"/>
  <c r="G44" i="41"/>
  <c r="W44" i="41"/>
  <c r="G34" i="41"/>
  <c r="W34" i="41"/>
  <c r="X34" i="41"/>
  <c r="W24" i="41"/>
  <c r="X24" i="41"/>
  <c r="W14" i="41"/>
  <c r="X14" i="41"/>
  <c r="X114" i="41"/>
  <c r="X64" i="41"/>
  <c r="H54" i="41"/>
  <c r="L123" i="41"/>
  <c r="S123" i="41"/>
  <c r="G123" i="41"/>
  <c r="H123" i="41"/>
  <c r="W123" i="41"/>
  <c r="O123" i="41"/>
  <c r="O113" i="41"/>
  <c r="H113" i="41"/>
  <c r="L113" i="41"/>
  <c r="G113" i="41"/>
  <c r="W113" i="41"/>
  <c r="L103" i="41"/>
  <c r="S103" i="41"/>
  <c r="W103" i="41"/>
  <c r="K103" i="41"/>
  <c r="K93" i="41"/>
  <c r="O93" i="41"/>
  <c r="L93" i="41"/>
  <c r="H93" i="41"/>
  <c r="W93" i="41"/>
  <c r="L83" i="41"/>
  <c r="S83" i="41"/>
  <c r="O83" i="41"/>
  <c r="W83" i="41"/>
  <c r="H73" i="41"/>
  <c r="K73" i="41"/>
  <c r="L73" i="41"/>
  <c r="W73" i="41"/>
  <c r="L63" i="41"/>
  <c r="H63" i="41"/>
  <c r="G63" i="41"/>
  <c r="K63" i="41"/>
  <c r="S63" i="41"/>
  <c r="O63" i="41"/>
  <c r="W63" i="41"/>
  <c r="G53" i="41"/>
  <c r="O53" i="41"/>
  <c r="W53" i="41"/>
  <c r="L53" i="41"/>
  <c r="L43" i="41"/>
  <c r="H43" i="41"/>
  <c r="G43" i="41"/>
  <c r="S43" i="41"/>
  <c r="W43" i="41"/>
  <c r="K43" i="41"/>
  <c r="W33" i="41"/>
  <c r="X33" i="41"/>
  <c r="W23" i="41"/>
  <c r="X23" i="41"/>
  <c r="W13" i="41"/>
  <c r="X13" i="41"/>
  <c r="X113" i="41"/>
  <c r="X63" i="41"/>
  <c r="X123" i="41"/>
  <c r="X73" i="41"/>
  <c r="H84" i="41"/>
  <c r="K44" i="41"/>
  <c r="X74" i="41"/>
  <c r="L74" i="41"/>
  <c r="O126" i="41"/>
  <c r="L126" i="41"/>
  <c r="O116" i="41"/>
  <c r="S116" i="41"/>
  <c r="O106" i="41"/>
  <c r="L106" i="41"/>
  <c r="O96" i="41"/>
  <c r="G96" i="41"/>
  <c r="S96" i="41"/>
  <c r="O86" i="41"/>
  <c r="G86" i="41"/>
  <c r="L86" i="41"/>
  <c r="O76" i="41"/>
  <c r="S76" i="41"/>
  <c r="G76" i="41"/>
  <c r="O66" i="41"/>
  <c r="L66" i="41"/>
  <c r="G66" i="41"/>
  <c r="O56" i="41"/>
  <c r="G56" i="41"/>
  <c r="S56" i="41"/>
  <c r="O46" i="41"/>
  <c r="G46" i="41"/>
  <c r="L46" i="41"/>
  <c r="P36" i="41"/>
  <c r="W36" i="41"/>
  <c r="S26" i="41"/>
  <c r="W26" i="41"/>
  <c r="S16" i="41"/>
  <c r="W16" i="41"/>
  <c r="X116" i="41"/>
  <c r="X94" i="41"/>
  <c r="X66" i="41"/>
  <c r="X44" i="41"/>
  <c r="X104" i="41"/>
  <c r="O64" i="41"/>
  <c r="K114" i="41"/>
  <c r="X124" i="41"/>
  <c r="G94" i="41"/>
  <c r="G104" i="41"/>
  <c r="O104" i="41"/>
  <c r="O125" i="41"/>
  <c r="W125" i="41"/>
  <c r="L125" i="41"/>
  <c r="O115" i="41"/>
  <c r="W115" i="41"/>
  <c r="S115" i="41"/>
  <c r="H115" i="41"/>
  <c r="O105" i="41"/>
  <c r="L105" i="41"/>
  <c r="W105" i="41"/>
  <c r="O95" i="41"/>
  <c r="H95" i="41"/>
  <c r="S95" i="41"/>
  <c r="W95" i="41"/>
  <c r="O85" i="41"/>
  <c r="H85" i="41"/>
  <c r="G85" i="41"/>
  <c r="W85" i="41"/>
  <c r="L85" i="41"/>
  <c r="O75" i="41"/>
  <c r="S75" i="41"/>
  <c r="G75" i="41"/>
  <c r="W75" i="41"/>
  <c r="O65" i="41"/>
  <c r="W65" i="41"/>
  <c r="L65" i="41"/>
  <c r="H65" i="41"/>
  <c r="G65" i="41"/>
  <c r="O55" i="41"/>
  <c r="S55" i="41"/>
  <c r="G55" i="41"/>
  <c r="W55" i="41"/>
  <c r="O45" i="41"/>
  <c r="W45" i="41"/>
  <c r="L45" i="41"/>
  <c r="H45" i="41"/>
  <c r="G45" i="41"/>
  <c r="G35" i="41"/>
  <c r="W35" i="41"/>
  <c r="X35" i="41"/>
  <c r="X25" i="41"/>
  <c r="W25" i="41"/>
  <c r="W15" i="41"/>
  <c r="X15" i="41"/>
  <c r="W126" i="41"/>
  <c r="W76" i="41"/>
  <c r="X26" i="41"/>
  <c r="X115" i="41"/>
  <c r="X93" i="41"/>
  <c r="X65" i="41"/>
  <c r="X43" i="41"/>
  <c r="X122" i="41"/>
  <c r="X112" i="41"/>
  <c r="X102" i="41"/>
  <c r="X92" i="41"/>
  <c r="X82" i="41"/>
  <c r="X42" i="41"/>
  <c r="L92" i="41"/>
  <c r="O62" i="41"/>
  <c r="X121" i="41"/>
  <c r="X111" i="41"/>
  <c r="X101" i="41"/>
  <c r="X91" i="41"/>
  <c r="X81" i="41"/>
  <c r="X51" i="41"/>
  <c r="G122" i="41"/>
  <c r="H122" i="41"/>
  <c r="H72" i="41"/>
  <c r="K72" i="41"/>
  <c r="O92" i="41"/>
  <c r="S122" i="41"/>
  <c r="S102" i="41"/>
  <c r="S82" i="41"/>
  <c r="S62" i="41"/>
  <c r="S42" i="41"/>
  <c r="X120" i="41"/>
  <c r="X110" i="41"/>
  <c r="X100" i="41"/>
  <c r="X90" i="41"/>
  <c r="X80" i="41"/>
  <c r="X70" i="41"/>
  <c r="X60" i="41"/>
  <c r="X50" i="41"/>
  <c r="X40" i="41"/>
  <c r="X72" i="41"/>
  <c r="X41" i="41"/>
  <c r="G120" i="41"/>
  <c r="K102" i="41"/>
  <c r="O122" i="41"/>
  <c r="W112" i="41"/>
  <c r="W92" i="41"/>
  <c r="W82" i="41"/>
  <c r="W72" i="41"/>
  <c r="W62" i="41"/>
  <c r="W52" i="41"/>
  <c r="W42" i="41"/>
  <c r="X119" i="41"/>
  <c r="X109" i="41"/>
  <c r="X99" i="41"/>
  <c r="X89" i="41"/>
  <c r="X79" i="41"/>
  <c r="X69" i="41"/>
  <c r="X59" i="41"/>
  <c r="X49" i="41"/>
  <c r="X39" i="41"/>
  <c r="X62" i="41"/>
  <c r="G112" i="41"/>
  <c r="K42" i="41"/>
  <c r="X61" i="41"/>
  <c r="G42" i="41"/>
  <c r="O52" i="41"/>
  <c r="W121" i="41"/>
  <c r="W111" i="41"/>
  <c r="W101" i="41"/>
  <c r="W91" i="41"/>
  <c r="W81" i="41"/>
  <c r="W71" i="41"/>
  <c r="W61" i="41"/>
  <c r="W51" i="41"/>
  <c r="W41" i="41"/>
  <c r="X31" i="41"/>
  <c r="X21" i="41"/>
  <c r="X118" i="41"/>
  <c r="X108" i="41"/>
  <c r="X98" i="41"/>
  <c r="X88" i="41"/>
  <c r="X78" i="41"/>
  <c r="X68" i="41"/>
  <c r="X58" i="41"/>
  <c r="X48" i="41"/>
  <c r="X38" i="41"/>
  <c r="X52" i="41"/>
  <c r="L52" i="41"/>
  <c r="X71" i="41"/>
  <c r="G40" i="41"/>
  <c r="W120" i="41"/>
  <c r="W110" i="41"/>
  <c r="W100" i="41"/>
  <c r="W90" i="41"/>
  <c r="W80" i="41"/>
  <c r="W70" i="41"/>
  <c r="W60" i="41"/>
  <c r="W50" i="41"/>
  <c r="W40" i="41"/>
  <c r="X30" i="41"/>
  <c r="X20" i="41"/>
  <c r="X127" i="41"/>
  <c r="X117" i="41"/>
  <c r="X107" i="41"/>
  <c r="X97" i="41"/>
  <c r="X87" i="41"/>
  <c r="X77" i="41"/>
  <c r="X67" i="41"/>
  <c r="X57" i="41"/>
  <c r="X47" i="41"/>
  <c r="X37" i="41"/>
  <c r="H101" i="41"/>
  <c r="H41" i="41"/>
  <c r="H60" i="41"/>
  <c r="H91" i="41"/>
  <c r="S20" i="41"/>
  <c r="H59" i="41"/>
  <c r="K71" i="41"/>
  <c r="O91" i="41"/>
  <c r="H58" i="41"/>
  <c r="O60" i="41"/>
  <c r="H47" i="41"/>
  <c r="S91" i="41"/>
  <c r="H111" i="41"/>
  <c r="H61" i="41"/>
  <c r="O21" i="41"/>
  <c r="H110" i="41"/>
  <c r="H80" i="41"/>
  <c r="H40" i="41"/>
  <c r="O30" i="41"/>
  <c r="H119" i="41"/>
  <c r="H99" i="41"/>
  <c r="H79" i="41"/>
  <c r="H69" i="41"/>
  <c r="H49" i="41"/>
  <c r="K121" i="41"/>
  <c r="K91" i="41"/>
  <c r="K81" i="41"/>
  <c r="K51" i="41"/>
  <c r="O121" i="41"/>
  <c r="O41" i="41"/>
  <c r="H88" i="41"/>
  <c r="K110" i="41"/>
  <c r="O120" i="41"/>
  <c r="O80" i="41"/>
  <c r="H127" i="41"/>
  <c r="H67" i="41"/>
  <c r="K109" i="41"/>
  <c r="K69" i="41"/>
  <c r="L121" i="41"/>
  <c r="L81" i="41"/>
  <c r="L51" i="41"/>
  <c r="O119" i="41"/>
  <c r="O89" i="41"/>
  <c r="O59" i="41"/>
  <c r="S111" i="41"/>
  <c r="S81" i="41"/>
  <c r="S61" i="41"/>
  <c r="H126" i="41"/>
  <c r="H116" i="41"/>
  <c r="H106" i="41"/>
  <c r="H96" i="41"/>
  <c r="H86" i="41"/>
  <c r="H76" i="41"/>
  <c r="H66" i="41"/>
  <c r="H56" i="41"/>
  <c r="H46" i="41"/>
  <c r="K118" i="41"/>
  <c r="K108" i="41"/>
  <c r="K98" i="41"/>
  <c r="K88" i="41"/>
  <c r="K78" i="41"/>
  <c r="K68" i="41"/>
  <c r="K58" i="41"/>
  <c r="K48" i="41"/>
  <c r="K38" i="41"/>
  <c r="L120" i="41"/>
  <c r="L110" i="41"/>
  <c r="L100" i="41"/>
  <c r="L90" i="41"/>
  <c r="L80" i="41"/>
  <c r="L70" i="41"/>
  <c r="L60" i="41"/>
  <c r="L50" i="41"/>
  <c r="L40" i="41"/>
  <c r="O118" i="41"/>
  <c r="O108" i="41"/>
  <c r="O98" i="41"/>
  <c r="O88" i="41"/>
  <c r="O78" i="41"/>
  <c r="O68" i="41"/>
  <c r="O58" i="41"/>
  <c r="O48" i="41"/>
  <c r="O38" i="41"/>
  <c r="S120" i="41"/>
  <c r="S110" i="41"/>
  <c r="S100" i="41"/>
  <c r="S90" i="41"/>
  <c r="S80" i="41"/>
  <c r="S70" i="41"/>
  <c r="S60" i="41"/>
  <c r="S50" i="41"/>
  <c r="S40" i="41"/>
  <c r="H81" i="41"/>
  <c r="O31" i="41"/>
  <c r="H90" i="41"/>
  <c r="H89" i="41"/>
  <c r="K101" i="41"/>
  <c r="H48" i="41"/>
  <c r="K90" i="41"/>
  <c r="K50" i="41"/>
  <c r="O100" i="41"/>
  <c r="O70" i="41"/>
  <c r="H117" i="41"/>
  <c r="H87" i="41"/>
  <c r="H37" i="41"/>
  <c r="K99" i="41"/>
  <c r="K59" i="41"/>
  <c r="L111" i="41"/>
  <c r="L61" i="41"/>
  <c r="O99" i="41"/>
  <c r="O79" i="41"/>
  <c r="O69" i="41"/>
  <c r="O39" i="41"/>
  <c r="S101" i="41"/>
  <c r="S71" i="41"/>
  <c r="S51" i="41"/>
  <c r="K127" i="41"/>
  <c r="K117" i="41"/>
  <c r="K107" i="41"/>
  <c r="K97" i="41"/>
  <c r="K87" i="41"/>
  <c r="K77" i="41"/>
  <c r="K67" i="41"/>
  <c r="K57" i="41"/>
  <c r="K47" i="41"/>
  <c r="K37" i="41"/>
  <c r="L119" i="41"/>
  <c r="L109" i="41"/>
  <c r="L99" i="41"/>
  <c r="L89" i="41"/>
  <c r="L79" i="41"/>
  <c r="L69" i="41"/>
  <c r="L59" i="41"/>
  <c r="L49" i="41"/>
  <c r="L39" i="41"/>
  <c r="O127" i="41"/>
  <c r="O117" i="41"/>
  <c r="O107" i="41"/>
  <c r="O97" i="41"/>
  <c r="O87" i="41"/>
  <c r="O77" i="41"/>
  <c r="O67" i="41"/>
  <c r="O57" i="41"/>
  <c r="O47" i="41"/>
  <c r="O37" i="41"/>
  <c r="S119" i="41"/>
  <c r="S109" i="41"/>
  <c r="S89" i="41"/>
  <c r="S79" i="41"/>
  <c r="S49" i="41"/>
  <c r="S39" i="41"/>
  <c r="H51" i="41"/>
  <c r="H100" i="41"/>
  <c r="H70" i="41"/>
  <c r="H50" i="41"/>
  <c r="H39" i="41"/>
  <c r="K61" i="41"/>
  <c r="O111" i="41"/>
  <c r="O81" i="41"/>
  <c r="O71" i="41"/>
  <c r="O51" i="41"/>
  <c r="H108" i="41"/>
  <c r="H68" i="41"/>
  <c r="K120" i="41"/>
  <c r="K40" i="41"/>
  <c r="H97" i="41"/>
  <c r="H57" i="41"/>
  <c r="K49" i="41"/>
  <c r="L91" i="41"/>
  <c r="S121" i="41"/>
  <c r="K126" i="41"/>
  <c r="K116" i="41"/>
  <c r="K106" i="41"/>
  <c r="K96" i="41"/>
  <c r="K86" i="41"/>
  <c r="K76" i="41"/>
  <c r="K66" i="41"/>
  <c r="K56" i="41"/>
  <c r="K46" i="41"/>
  <c r="L118" i="41"/>
  <c r="L108" i="41"/>
  <c r="L98" i="41"/>
  <c r="L88" i="41"/>
  <c r="L78" i="41"/>
  <c r="L68" i="41"/>
  <c r="L58" i="41"/>
  <c r="L48" i="41"/>
  <c r="L38" i="41"/>
  <c r="S118" i="41"/>
  <c r="S98" i="41"/>
  <c r="S78" i="41"/>
  <c r="S38" i="41"/>
  <c r="H121" i="41"/>
  <c r="H71" i="41"/>
  <c r="H109" i="41"/>
  <c r="K111" i="41"/>
  <c r="K41" i="41"/>
  <c r="O101" i="41"/>
  <c r="O61" i="41"/>
  <c r="H107" i="41"/>
  <c r="H77" i="41"/>
  <c r="L101" i="41"/>
  <c r="L71" i="41"/>
  <c r="L41" i="41"/>
  <c r="S41" i="41"/>
  <c r="K125" i="41"/>
  <c r="K115" i="41"/>
  <c r="K105" i="41"/>
  <c r="K95" i="41"/>
  <c r="K85" i="41"/>
  <c r="K75" i="41"/>
  <c r="K65" i="41"/>
  <c r="K55" i="41"/>
  <c r="K45" i="41"/>
  <c r="L127" i="41"/>
  <c r="L117" i="41"/>
  <c r="L107" i="41"/>
  <c r="L97" i="41"/>
  <c r="L87" i="41"/>
  <c r="L77" i="41"/>
  <c r="L67" i="41"/>
  <c r="L57" i="41"/>
  <c r="L47" i="41"/>
  <c r="L37" i="41"/>
  <c r="S19" i="41"/>
  <c r="S29" i="41"/>
  <c r="O27" i="41"/>
  <c r="S36" i="41"/>
  <c r="S27" i="41"/>
  <c r="O29" i="41"/>
  <c r="O28" i="41"/>
  <c r="S17" i="41"/>
  <c r="O19" i="41"/>
  <c r="G23" i="41"/>
  <c r="O36" i="41"/>
  <c r="O16" i="41"/>
  <c r="S35" i="41"/>
  <c r="S25" i="41"/>
  <c r="S15" i="41"/>
  <c r="G13" i="41"/>
  <c r="O35" i="41"/>
  <c r="O25" i="41"/>
  <c r="O15" i="41"/>
  <c r="S34" i="41"/>
  <c r="S24" i="41"/>
  <c r="S14" i="41"/>
  <c r="O34" i="41"/>
  <c r="O24" i="41"/>
  <c r="O14" i="41"/>
  <c r="S33" i="41"/>
  <c r="S23" i="41"/>
  <c r="S13" i="41"/>
  <c r="O33" i="41"/>
  <c r="O23" i="41"/>
  <c r="O13" i="41"/>
  <c r="S32" i="41"/>
  <c r="S22" i="41"/>
  <c r="S12" i="41"/>
  <c r="G33" i="41"/>
  <c r="G32" i="41"/>
  <c r="G20" i="41"/>
  <c r="G19" i="41"/>
  <c r="G36" i="41"/>
  <c r="G26" i="41"/>
  <c r="G16" i="41"/>
  <c r="G18" i="41"/>
  <c r="G25" i="41"/>
  <c r="G15" i="41"/>
  <c r="G22" i="41"/>
  <c r="G12" i="41"/>
  <c r="G31" i="41"/>
  <c r="G21" i="41"/>
  <c r="G30" i="41"/>
  <c r="G29" i="41"/>
  <c r="G28" i="41"/>
  <c r="G24" i="41"/>
  <c r="G14" i="41"/>
  <c r="Q27" i="46"/>
  <c r="E39" i="46"/>
  <c r="AO17" i="46"/>
  <c r="AP17" i="46"/>
  <c r="AO18" i="46"/>
  <c r="AP19" i="46"/>
  <c r="AO27" i="46"/>
  <c r="AO29" i="46"/>
  <c r="V29" i="46"/>
  <c r="AO30" i="46"/>
  <c r="U37" i="46"/>
  <c r="AO31" i="46"/>
  <c r="AD41" i="46"/>
  <c r="AP30" i="46"/>
  <c r="AO40" i="46"/>
  <c r="AP40" i="46"/>
  <c r="AL41" i="46"/>
  <c r="Z31" i="46"/>
  <c r="AO20" i="46"/>
  <c r="V32" i="46"/>
  <c r="AO41" i="46"/>
  <c r="AO21" i="46"/>
  <c r="Y33" i="46"/>
  <c r="AD16" i="46"/>
  <c r="Q41" i="46"/>
  <c r="AP20" i="46"/>
  <c r="R41" i="46"/>
  <c r="U19" i="46"/>
  <c r="AC41" i="46"/>
  <c r="AP21" i="46"/>
  <c r="AO38" i="46"/>
  <c r="AO22" i="46"/>
  <c r="AO35" i="46"/>
  <c r="F41" i="46"/>
  <c r="AO16" i="46"/>
  <c r="Y23" i="46"/>
  <c r="I41" i="46"/>
  <c r="E41" i="46"/>
  <c r="AO25" i="46"/>
  <c r="V22" i="46"/>
  <c r="M41" i="46"/>
  <c r="AO28" i="46"/>
  <c r="AO39" i="46"/>
  <c r="AP25" i="46"/>
  <c r="AP35" i="46"/>
  <c r="AO26" i="46"/>
  <c r="AO36" i="46"/>
  <c r="Z24" i="46"/>
  <c r="AO32" i="46"/>
  <c r="R18" i="46"/>
  <c r="V28" i="46"/>
  <c r="AL38" i="46"/>
  <c r="V41" i="46"/>
  <c r="AP23" i="46"/>
  <c r="AP33" i="46"/>
  <c r="AD36" i="46"/>
  <c r="U41" i="46"/>
  <c r="Y41" i="46"/>
  <c r="AO24" i="46"/>
  <c r="AO34" i="46"/>
  <c r="Z34" i="46"/>
  <c r="AP26" i="46"/>
  <c r="AH35" i="46"/>
  <c r="AK35" i="46"/>
  <c r="J41" i="46"/>
  <c r="AG41" i="46"/>
  <c r="Y29" i="46"/>
  <c r="AL21" i="46"/>
  <c r="AL29" i="46"/>
  <c r="AG36" i="46"/>
  <c r="N41" i="46"/>
  <c r="AH41" i="46"/>
  <c r="AG24" i="46"/>
  <c r="V18" i="46"/>
  <c r="AH24" i="46"/>
  <c r="U18" i="46"/>
  <c r="AK18" i="46"/>
  <c r="AK24" i="46"/>
  <c r="AL31" i="46"/>
  <c r="AL18" i="46"/>
  <c r="Q37" i="46"/>
  <c r="AH36" i="46"/>
  <c r="R37" i="46"/>
  <c r="AL16" i="46"/>
  <c r="AK21" i="46"/>
  <c r="U30" i="46"/>
  <c r="Q38" i="46"/>
  <c r="V30" i="46"/>
  <c r="R38" i="46"/>
  <c r="Q21" i="46"/>
  <c r="Y30" i="46"/>
  <c r="AL35" i="46"/>
  <c r="U38" i="46"/>
  <c r="R21" i="46"/>
  <c r="Z30" i="46"/>
  <c r="V38" i="46"/>
  <c r="U17" i="46"/>
  <c r="V20" i="46"/>
  <c r="F23" i="46"/>
  <c r="AH27" i="46"/>
  <c r="M34" i="46"/>
  <c r="I34" i="46"/>
  <c r="AH17" i="46"/>
  <c r="Y20" i="46"/>
  <c r="AK23" i="46"/>
  <c r="AK27" i="46"/>
  <c r="AH34" i="46"/>
  <c r="AK36" i="46"/>
  <c r="AK38" i="46"/>
  <c r="J34" i="46"/>
  <c r="AK17" i="46"/>
  <c r="Z20" i="46"/>
  <c r="AL23" i="46"/>
  <c r="AL27" i="46"/>
  <c r="AK34" i="46"/>
  <c r="AL36" i="46"/>
  <c r="AK41" i="46"/>
  <c r="J31" i="46"/>
  <c r="AL34" i="46"/>
  <c r="M31" i="46"/>
  <c r="I23" i="46"/>
  <c r="J23" i="46"/>
  <c r="N24" i="46"/>
  <c r="AC23" i="46"/>
  <c r="AG32" i="46"/>
  <c r="M32" i="46"/>
  <c r="N23" i="46"/>
  <c r="AC31" i="46"/>
  <c r="Q32" i="46"/>
  <c r="N17" i="46"/>
  <c r="AD23" i="46"/>
  <c r="R24" i="46"/>
  <c r="AG31" i="46"/>
  <c r="AH32" i="46"/>
  <c r="J32" i="46"/>
  <c r="Q31" i="46"/>
  <c r="M23" i="46"/>
  <c r="R31" i="46"/>
  <c r="Q24" i="46"/>
  <c r="Q17" i="46"/>
  <c r="AG23" i="46"/>
  <c r="AC24" i="46"/>
  <c r="AH31" i="46"/>
  <c r="AK32" i="46"/>
  <c r="N31" i="46"/>
  <c r="I24" i="46"/>
  <c r="M24" i="46"/>
  <c r="N32" i="46"/>
  <c r="AD31" i="46"/>
  <c r="R17" i="46"/>
  <c r="AL19" i="46"/>
  <c r="AH23" i="46"/>
  <c r="AD24" i="46"/>
  <c r="I31" i="46"/>
  <c r="AK31" i="46"/>
  <c r="AL32" i="46"/>
  <c r="AG35" i="46"/>
  <c r="N37" i="46"/>
  <c r="R22" i="46"/>
  <c r="J25" i="46"/>
  <c r="Q33" i="46"/>
  <c r="M26" i="46"/>
  <c r="U21" i="46"/>
  <c r="N25" i="46"/>
  <c r="U33" i="46"/>
  <c r="Z22" i="46"/>
  <c r="E21" i="46"/>
  <c r="AC22" i="46"/>
  <c r="R25" i="46"/>
  <c r="R32" i="46"/>
  <c r="AC33" i="46"/>
  <c r="J35" i="46"/>
  <c r="I22" i="46"/>
  <c r="J22" i="46"/>
  <c r="Q23" i="46"/>
  <c r="AG25" i="46"/>
  <c r="E29" i="46"/>
  <c r="U31" i="46"/>
  <c r="AG33" i="46"/>
  <c r="AG16" i="46"/>
  <c r="E20" i="46"/>
  <c r="J21" i="46"/>
  <c r="AD21" i="46"/>
  <c r="M22" i="46"/>
  <c r="AH22" i="46"/>
  <c r="R23" i="46"/>
  <c r="AH25" i="46"/>
  <c r="AH26" i="46"/>
  <c r="R29" i="46"/>
  <c r="V31" i="46"/>
  <c r="E32" i="46"/>
  <c r="Z32" i="46"/>
  <c r="J33" i="46"/>
  <c r="AH33" i="46"/>
  <c r="AC34" i="46"/>
  <c r="Q35" i="46"/>
  <c r="Q36" i="46"/>
  <c r="V39" i="46"/>
  <c r="N26" i="46"/>
  <c r="M16" i="46"/>
  <c r="V21" i="46"/>
  <c r="Q25" i="46"/>
  <c r="Z33" i="46"/>
  <c r="F22" i="46"/>
  <c r="R26" i="46"/>
  <c r="Q16" i="46"/>
  <c r="Z21" i="46"/>
  <c r="AD25" i="46"/>
  <c r="U26" i="46"/>
  <c r="F33" i="46"/>
  <c r="Q34" i="46"/>
  <c r="M35" i="46"/>
  <c r="AC21" i="46"/>
  <c r="AG22" i="46"/>
  <c r="Y32" i="46"/>
  <c r="R34" i="46"/>
  <c r="N36" i="46"/>
  <c r="AH16" i="46"/>
  <c r="F20" i="46"/>
  <c r="M21" i="46"/>
  <c r="AG21" i="46"/>
  <c r="N22" i="46"/>
  <c r="AK22" i="46"/>
  <c r="U23" i="46"/>
  <c r="J24" i="46"/>
  <c r="AL24" i="46"/>
  <c r="AK25" i="46"/>
  <c r="AK26" i="46"/>
  <c r="U29" i="46"/>
  <c r="E31" i="46"/>
  <c r="Y31" i="46"/>
  <c r="F32" i="46"/>
  <c r="AC32" i="46"/>
  <c r="M33" i="46"/>
  <c r="AK33" i="46"/>
  <c r="AD34" i="46"/>
  <c r="R35" i="46"/>
  <c r="R36" i="46"/>
  <c r="Y39" i="46"/>
  <c r="U22" i="46"/>
  <c r="M25" i="46"/>
  <c r="R33" i="46"/>
  <c r="Y22" i="46"/>
  <c r="E22" i="46"/>
  <c r="Q26" i="46"/>
  <c r="N16" i="46"/>
  <c r="Y21" i="46"/>
  <c r="N34" i="46"/>
  <c r="F21" i="46"/>
  <c r="AD22" i="46"/>
  <c r="U32" i="46"/>
  <c r="AD33" i="46"/>
  <c r="M36" i="46"/>
  <c r="R16" i="46"/>
  <c r="I21" i="46"/>
  <c r="AG26" i="46"/>
  <c r="I33" i="46"/>
  <c r="N35" i="46"/>
  <c r="AK16" i="46"/>
  <c r="N21" i="46"/>
  <c r="Q22" i="46"/>
  <c r="AL22" i="46"/>
  <c r="Z23" i="46"/>
  <c r="AL25" i="46"/>
  <c r="AL26" i="46"/>
  <c r="F31" i="46"/>
  <c r="I32" i="46"/>
  <c r="AD32" i="46"/>
  <c r="N33" i="46"/>
  <c r="AL33" i="46"/>
  <c r="AG34" i="46"/>
  <c r="AD35" i="46"/>
  <c r="U36" i="46"/>
  <c r="AL39" i="46"/>
  <c r="Y19" i="46"/>
  <c r="U27" i="46"/>
  <c r="AL28" i="46"/>
  <c r="AG37" i="46"/>
  <c r="M37" i="46"/>
  <c r="V37" i="46"/>
  <c r="AD37" i="46"/>
  <c r="J37" i="46"/>
  <c r="F37" i="46"/>
  <c r="Y37" i="46"/>
  <c r="E37" i="46"/>
  <c r="AC37" i="46"/>
  <c r="I37" i="46"/>
  <c r="Z37" i="46"/>
  <c r="U39" i="46"/>
  <c r="Z40" i="46"/>
  <c r="F40" i="46"/>
  <c r="AL30" i="46"/>
  <c r="R30" i="46"/>
  <c r="M30" i="46"/>
  <c r="AC30" i="46"/>
  <c r="I30" i="46"/>
  <c r="AK30" i="46"/>
  <c r="Q30" i="46"/>
  <c r="J30" i="46"/>
  <c r="AH30" i="46"/>
  <c r="N30" i="46"/>
  <c r="AG30" i="46"/>
  <c r="AD30" i="46"/>
  <c r="E40" i="46"/>
  <c r="N27" i="46"/>
  <c r="U28" i="46"/>
  <c r="AH37" i="46"/>
  <c r="AH38" i="46"/>
  <c r="N38" i="46"/>
  <c r="I38" i="46"/>
  <c r="Y38" i="46"/>
  <c r="E38" i="46"/>
  <c r="AG38" i="46"/>
  <c r="M38" i="46"/>
  <c r="AC38" i="46"/>
  <c r="Z38" i="46"/>
  <c r="F38" i="46"/>
  <c r="AD38" i="46"/>
  <c r="J38" i="46"/>
  <c r="AL40" i="46"/>
  <c r="R40" i="46"/>
  <c r="AD40" i="46"/>
  <c r="AC40" i="46"/>
  <c r="I40" i="46"/>
  <c r="AK40" i="46"/>
  <c r="Q40" i="46"/>
  <c r="J40" i="46"/>
  <c r="AH40" i="46"/>
  <c r="N40" i="46"/>
  <c r="AG40" i="46"/>
  <c r="M40" i="46"/>
  <c r="Q28" i="46"/>
  <c r="R28" i="46"/>
  <c r="AG17" i="46"/>
  <c r="M17" i="46"/>
  <c r="Z17" i="46"/>
  <c r="Y17" i="46"/>
  <c r="V17" i="46"/>
  <c r="AD17" i="46"/>
  <c r="J17" i="46"/>
  <c r="F17" i="46"/>
  <c r="E17" i="46"/>
  <c r="AC17" i="46"/>
  <c r="I17" i="46"/>
  <c r="AK29" i="46"/>
  <c r="Q29" i="46"/>
  <c r="I29" i="46"/>
  <c r="Z29" i="46"/>
  <c r="F29" i="46"/>
  <c r="AH29" i="46"/>
  <c r="N29" i="46"/>
  <c r="AD29" i="46"/>
  <c r="AG29" i="46"/>
  <c r="M29" i="46"/>
  <c r="J29" i="46"/>
  <c r="AC29" i="46"/>
  <c r="AK37" i="46"/>
  <c r="V40" i="46"/>
  <c r="AH28" i="46"/>
  <c r="N28" i="46"/>
  <c r="AC28" i="46"/>
  <c r="F28" i="46"/>
  <c r="E28" i="46"/>
  <c r="AG28" i="46"/>
  <c r="M28" i="46"/>
  <c r="I28" i="46"/>
  <c r="Z28" i="46"/>
  <c r="Y28" i="46"/>
  <c r="AD28" i="46"/>
  <c r="J28" i="46"/>
  <c r="AK19" i="46"/>
  <c r="Q19" i="46"/>
  <c r="J19" i="46"/>
  <c r="AC19" i="46"/>
  <c r="F19" i="46"/>
  <c r="AH19" i="46"/>
  <c r="N19" i="46"/>
  <c r="AD19" i="46"/>
  <c r="I19" i="46"/>
  <c r="Z19" i="46"/>
  <c r="AG19" i="46"/>
  <c r="M19" i="46"/>
  <c r="AG27" i="46"/>
  <c r="M27" i="46"/>
  <c r="Z27" i="46"/>
  <c r="V27" i="46"/>
  <c r="AD27" i="46"/>
  <c r="J27" i="46"/>
  <c r="E27" i="46"/>
  <c r="AC27" i="46"/>
  <c r="I27" i="46"/>
  <c r="F27" i="46"/>
  <c r="Y27" i="46"/>
  <c r="AK39" i="46"/>
  <c r="Q39" i="46"/>
  <c r="Z39" i="46"/>
  <c r="F39" i="46"/>
  <c r="AH39" i="46"/>
  <c r="N39" i="46"/>
  <c r="AD39" i="46"/>
  <c r="AC39" i="46"/>
  <c r="I39" i="46"/>
  <c r="AG39" i="46"/>
  <c r="M39" i="46"/>
  <c r="J39" i="46"/>
  <c r="AH18" i="46"/>
  <c r="N18" i="46"/>
  <c r="AG18" i="46"/>
  <c r="M18" i="46"/>
  <c r="I18" i="46"/>
  <c r="Z18" i="46"/>
  <c r="Y18" i="46"/>
  <c r="AD18" i="46"/>
  <c r="J18" i="46"/>
  <c r="AC18" i="46"/>
  <c r="F18" i="46"/>
  <c r="E18" i="46"/>
  <c r="E19" i="46"/>
  <c r="R19" i="46"/>
  <c r="Q18" i="46"/>
  <c r="V19" i="46"/>
  <c r="AL20" i="46"/>
  <c r="R20" i="46"/>
  <c r="AD20" i="46"/>
  <c r="AK20" i="46"/>
  <c r="Q20" i="46"/>
  <c r="AG20" i="46"/>
  <c r="J20" i="46"/>
  <c r="I20" i="46"/>
  <c r="AH20" i="46"/>
  <c r="N20" i="46"/>
  <c r="M20" i="46"/>
  <c r="AC20" i="46"/>
  <c r="R27" i="46"/>
  <c r="AK28" i="46"/>
  <c r="E30" i="46"/>
  <c r="AL37" i="46"/>
  <c r="R39" i="46"/>
  <c r="Y40" i="46"/>
  <c r="U35" i="46"/>
  <c r="Y16" i="46"/>
  <c r="Y26" i="46"/>
  <c r="V35" i="46"/>
  <c r="Y36" i="46"/>
  <c r="F16" i="46"/>
  <c r="Z16" i="46"/>
  <c r="V24" i="46"/>
  <c r="E25" i="46"/>
  <c r="Y25" i="46"/>
  <c r="F26" i="46"/>
  <c r="Z26" i="46"/>
  <c r="V34" i="46"/>
  <c r="E35" i="46"/>
  <c r="Y35" i="46"/>
  <c r="F36" i="46"/>
  <c r="Z36" i="46"/>
  <c r="V16" i="46"/>
  <c r="V36" i="46"/>
  <c r="E26" i="46"/>
  <c r="U34" i="46"/>
  <c r="I16" i="46"/>
  <c r="AC16" i="46"/>
  <c r="V23" i="46"/>
  <c r="E24" i="46"/>
  <c r="Y24" i="46"/>
  <c r="F25" i="46"/>
  <c r="Z25" i="46"/>
  <c r="I26" i="46"/>
  <c r="AC26" i="46"/>
  <c r="V33" i="46"/>
  <c r="E34" i="46"/>
  <c r="Y34" i="46"/>
  <c r="F35" i="46"/>
  <c r="Z35" i="46"/>
  <c r="I36" i="46"/>
  <c r="AC36" i="46"/>
  <c r="U16" i="46"/>
  <c r="U25" i="46"/>
  <c r="V26" i="46"/>
  <c r="E16" i="46"/>
  <c r="U24" i="46"/>
  <c r="V25" i="46"/>
  <c r="E36" i="46"/>
  <c r="J16" i="46"/>
  <c r="E23" i="46"/>
  <c r="F24" i="46"/>
  <c r="I25" i="46"/>
  <c r="J26" i="46"/>
  <c r="E33" i="46"/>
  <c r="F34" i="46"/>
  <c r="I35" i="46"/>
  <c r="J36" i="46"/>
  <c r="P22" i="41"/>
  <c r="P32" i="41"/>
  <c r="T12" i="41"/>
  <c r="X11" i="41"/>
  <c r="K34" i="41"/>
  <c r="H36" i="41"/>
  <c r="K36" i="41"/>
  <c r="L34" i="41"/>
  <c r="L14" i="41"/>
  <c r="K22" i="41"/>
  <c r="L20" i="41"/>
  <c r="H32" i="41"/>
  <c r="H22" i="41"/>
  <c r="K33" i="41"/>
  <c r="H33" i="41"/>
  <c r="L19" i="41"/>
  <c r="T32" i="41"/>
  <c r="K32" i="41"/>
  <c r="L32" i="41"/>
  <c r="K19" i="41"/>
  <c r="L33" i="41"/>
  <c r="L28" i="41"/>
  <c r="H18" i="41"/>
  <c r="K18" i="41"/>
  <c r="K30" i="41"/>
  <c r="H12" i="41"/>
  <c r="T18" i="41"/>
  <c r="L16" i="41"/>
  <c r="L18" i="41"/>
  <c r="L30" i="41"/>
  <c r="K20" i="41"/>
  <c r="T26" i="41"/>
  <c r="H34" i="41"/>
  <c r="L13" i="41"/>
  <c r="L36" i="41"/>
  <c r="K24" i="41"/>
  <c r="K23" i="41"/>
  <c r="L24" i="41"/>
  <c r="H26" i="41"/>
  <c r="K27" i="41"/>
  <c r="K12" i="41"/>
  <c r="L12" i="41"/>
  <c r="P12" i="41"/>
  <c r="L22" i="41"/>
  <c r="H24" i="41"/>
  <c r="H23" i="41"/>
  <c r="H16" i="41"/>
  <c r="P18" i="41"/>
  <c r="T22" i="41"/>
  <c r="L23" i="41"/>
  <c r="K26" i="41"/>
  <c r="L27" i="41"/>
  <c r="T36" i="41"/>
  <c r="K16" i="41"/>
  <c r="H19" i="41"/>
  <c r="H20" i="41"/>
  <c r="H30" i="41"/>
  <c r="P14" i="41"/>
  <c r="T14" i="41"/>
  <c r="L15" i="41"/>
  <c r="P20" i="41"/>
  <c r="H25" i="41"/>
  <c r="L29" i="41"/>
  <c r="L11" i="41"/>
  <c r="P16" i="41"/>
  <c r="H21" i="41"/>
  <c r="T24" i="41"/>
  <c r="K25" i="41"/>
  <c r="L26" i="41"/>
  <c r="P30" i="41"/>
  <c r="H35" i="41"/>
  <c r="P28" i="41"/>
  <c r="H11" i="41"/>
  <c r="P24" i="41"/>
  <c r="T28" i="41"/>
  <c r="K29" i="41"/>
  <c r="P34" i="41"/>
  <c r="H17" i="41"/>
  <c r="T20" i="41"/>
  <c r="K21" i="41"/>
  <c r="H31" i="41"/>
  <c r="T34" i="41"/>
  <c r="K35" i="41"/>
  <c r="G11" i="41"/>
  <c r="L25" i="41"/>
  <c r="H13" i="41"/>
  <c r="H14" i="41"/>
  <c r="T16" i="41"/>
  <c r="K17" i="41"/>
  <c r="L21" i="41"/>
  <c r="P26" i="41"/>
  <c r="H28" i="41"/>
  <c r="T30" i="41"/>
  <c r="K31" i="41"/>
  <c r="L35" i="41"/>
  <c r="H15" i="41"/>
  <c r="H29" i="41"/>
  <c r="K15" i="41"/>
  <c r="K11" i="41"/>
  <c r="K13" i="41"/>
  <c r="K14" i="41"/>
  <c r="L17" i="41"/>
  <c r="H27" i="41"/>
  <c r="K28" i="41"/>
  <c r="L31" i="41"/>
  <c r="O11" i="41"/>
  <c r="P11" i="41"/>
  <c r="P15" i="41"/>
  <c r="P17" i="41"/>
  <c r="P31" i="41"/>
  <c r="P13" i="41"/>
  <c r="P19" i="41"/>
  <c r="P21" i="41"/>
  <c r="P23" i="41"/>
  <c r="P25" i="41"/>
  <c r="P27" i="41"/>
  <c r="P29" i="41"/>
  <c r="P33" i="41"/>
  <c r="P35" i="41"/>
  <c r="S11" i="41"/>
  <c r="T11" i="41"/>
  <c r="T13" i="41"/>
  <c r="T15" i="41"/>
  <c r="T17" i="41"/>
  <c r="T19" i="41"/>
  <c r="T21" i="41"/>
  <c r="T23" i="41"/>
  <c r="T25" i="41"/>
  <c r="T27" i="41"/>
  <c r="T29" i="41"/>
  <c r="T31" i="41"/>
  <c r="T33" i="41"/>
  <c r="T35" i="41"/>
  <c r="M33" i="40"/>
  <c r="M18" i="40"/>
  <c r="E13" i="40"/>
  <c r="M32" i="40"/>
  <c r="M26" i="40"/>
  <c r="M29" i="40"/>
  <c r="M17" i="40"/>
  <c r="F12" i="40"/>
  <c r="N20" i="40"/>
  <c r="F19" i="40"/>
  <c r="M27" i="40"/>
  <c r="N23" i="40"/>
  <c r="N19" i="40"/>
  <c r="M19" i="40"/>
  <c r="N31" i="40"/>
  <c r="N12" i="40"/>
  <c r="N28" i="40"/>
  <c r="N11" i="40"/>
  <c r="N27" i="40"/>
  <c r="M11" i="40"/>
  <c r="N32" i="40"/>
  <c r="N24" i="40"/>
  <c r="N16" i="40"/>
  <c r="M28" i="40"/>
  <c r="M24" i="40"/>
  <c r="M20" i="40"/>
  <c r="M16" i="40"/>
  <c r="M12" i="40"/>
  <c r="M31" i="40"/>
  <c r="N34" i="40"/>
  <c r="N30" i="40"/>
  <c r="N26" i="40"/>
  <c r="N22" i="40"/>
  <c r="N18" i="40"/>
  <c r="N14" i="40"/>
  <c r="N10" i="40"/>
  <c r="M15" i="40"/>
  <c r="M34" i="40"/>
  <c r="M30" i="40"/>
  <c r="M22" i="40"/>
  <c r="M14" i="40"/>
  <c r="M10" i="40"/>
  <c r="N15" i="40"/>
  <c r="N33" i="40"/>
  <c r="N29" i="40"/>
  <c r="N25" i="40"/>
  <c r="N21" i="40"/>
  <c r="N17" i="40"/>
  <c r="N13" i="40"/>
  <c r="N9" i="40"/>
  <c r="M23" i="40"/>
  <c r="M25" i="40"/>
  <c r="M21" i="40"/>
  <c r="M13" i="40"/>
  <c r="M9" i="40"/>
  <c r="I9" i="40"/>
  <c r="E28" i="40"/>
  <c r="E20" i="40"/>
  <c r="E21" i="40"/>
  <c r="E22" i="40"/>
  <c r="E14" i="40"/>
  <c r="J31" i="40"/>
  <c r="F26" i="40"/>
  <c r="F18" i="40"/>
  <c r="F32" i="40"/>
  <c r="E15" i="40"/>
  <c r="F25" i="40"/>
  <c r="F11" i="40"/>
  <c r="E9" i="40"/>
  <c r="E32" i="40"/>
  <c r="J32" i="40"/>
  <c r="I32" i="40"/>
  <c r="F33" i="40"/>
  <c r="E29" i="40"/>
  <c r="I29" i="40"/>
  <c r="J29" i="40"/>
  <c r="E33" i="40"/>
  <c r="J33" i="40"/>
  <c r="F29" i="40"/>
  <c r="I33" i="40"/>
  <c r="F30" i="40"/>
  <c r="E30" i="40"/>
  <c r="J30" i="40"/>
  <c r="I23" i="40"/>
  <c r="E31" i="40"/>
  <c r="I31" i="40"/>
  <c r="I30" i="40"/>
  <c r="F34" i="40"/>
  <c r="F31" i="40"/>
  <c r="E27" i="40"/>
  <c r="I27" i="40"/>
  <c r="E19" i="40"/>
  <c r="I16" i="40"/>
  <c r="E26" i="40"/>
  <c r="E12" i="40"/>
  <c r="F17" i="40"/>
  <c r="F23" i="40"/>
  <c r="F16" i="40"/>
  <c r="J26" i="40"/>
  <c r="J22" i="40"/>
  <c r="J19" i="40"/>
  <c r="J15" i="40"/>
  <c r="J12" i="40"/>
  <c r="E25" i="40"/>
  <c r="E18" i="40"/>
  <c r="E11" i="40"/>
  <c r="F22" i="40"/>
  <c r="F15" i="40"/>
  <c r="I26" i="40"/>
  <c r="I22" i="40"/>
  <c r="I19" i="40"/>
  <c r="I15" i="40"/>
  <c r="I12" i="40"/>
  <c r="E24" i="40"/>
  <c r="E17" i="40"/>
  <c r="E10" i="40"/>
  <c r="F21" i="40"/>
  <c r="F14" i="40"/>
  <c r="J25" i="40"/>
  <c r="J21" i="40"/>
  <c r="J18" i="40"/>
  <c r="J14" i="40"/>
  <c r="J11" i="40"/>
  <c r="F24" i="40"/>
  <c r="E23" i="40"/>
  <c r="E16" i="40"/>
  <c r="F28" i="40"/>
  <c r="F20" i="40"/>
  <c r="F13" i="40"/>
  <c r="I25" i="40"/>
  <c r="I21" i="40"/>
  <c r="I18" i="40"/>
  <c r="I14" i="40"/>
  <c r="I11" i="40"/>
  <c r="F10" i="40"/>
  <c r="F27" i="40"/>
  <c r="J28" i="40"/>
  <c r="J24" i="40"/>
  <c r="J20" i="40"/>
  <c r="J17" i="40"/>
  <c r="J13" i="40"/>
  <c r="J10" i="40"/>
  <c r="I28" i="40"/>
  <c r="I24" i="40"/>
  <c r="I20" i="40"/>
  <c r="I17" i="40"/>
  <c r="I13" i="40"/>
  <c r="I10" i="40"/>
  <c r="J27" i="40"/>
  <c r="J23" i="40"/>
  <c r="J16" i="40"/>
  <c r="E34" i="40"/>
  <c r="J34" i="40"/>
  <c r="I34" i="40"/>
  <c r="N19" i="60" l="1"/>
  <c r="F19" i="60"/>
  <c r="Q19" i="60"/>
  <c r="U14" i="60"/>
  <c r="V31" i="60"/>
  <c r="N31" i="60"/>
  <c r="Q31" i="60"/>
  <c r="Y17" i="60"/>
  <c r="E17" i="60"/>
  <c r="U16" i="60"/>
  <c r="U31" i="60"/>
  <c r="U21" i="60"/>
  <c r="R21" i="60"/>
  <c r="I31" i="60"/>
  <c r="I21" i="60"/>
  <c r="J31" i="60"/>
  <c r="J21" i="60"/>
  <c r="Z31" i="60"/>
  <c r="I17" i="60"/>
  <c r="M21" i="60"/>
  <c r="V28" i="60"/>
  <c r="U34" i="60"/>
  <c r="Q21" i="60"/>
  <c r="Y31" i="60"/>
  <c r="Y21" i="60"/>
  <c r="I26" i="60"/>
  <c r="Z17" i="60"/>
  <c r="Z21" i="60"/>
  <c r="U30" i="60"/>
  <c r="E31" i="60"/>
  <c r="E21" i="60"/>
  <c r="R17" i="60"/>
  <c r="M17" i="60"/>
  <c r="R31" i="60"/>
  <c r="V22" i="60"/>
  <c r="V14" i="60"/>
  <c r="R12" i="60"/>
  <c r="I24" i="60"/>
  <c r="J20" i="60"/>
  <c r="V20" i="60"/>
  <c r="I22" i="60"/>
  <c r="I20" i="60"/>
  <c r="J22" i="60"/>
  <c r="Q20" i="60"/>
  <c r="J17" i="60"/>
  <c r="U17" i="60"/>
  <c r="F17" i="60"/>
  <c r="V17" i="60"/>
  <c r="U20" i="60"/>
  <c r="I34" i="60"/>
  <c r="R24" i="60"/>
  <c r="N17" i="60"/>
  <c r="I30" i="60"/>
  <c r="J24" i="60"/>
  <c r="U12" i="60"/>
  <c r="V12" i="60"/>
  <c r="J34" i="60"/>
  <c r="Q36" i="60"/>
  <c r="Z36" i="60"/>
  <c r="F36" i="60"/>
  <c r="Y36" i="60"/>
  <c r="E36" i="60"/>
  <c r="N36" i="60"/>
  <c r="M36" i="60"/>
  <c r="Z18" i="60"/>
  <c r="F18" i="60"/>
  <c r="Y18" i="60"/>
  <c r="E18" i="60"/>
  <c r="N18" i="60"/>
  <c r="M18" i="60"/>
  <c r="U36" i="60"/>
  <c r="I36" i="60"/>
  <c r="Q34" i="60"/>
  <c r="Z34" i="60"/>
  <c r="F34" i="60"/>
  <c r="Y34" i="60"/>
  <c r="E34" i="60"/>
  <c r="N34" i="60"/>
  <c r="M34" i="60"/>
  <c r="Q18" i="60"/>
  <c r="J36" i="60"/>
  <c r="J18" i="60"/>
  <c r="Q32" i="60"/>
  <c r="Z32" i="60"/>
  <c r="F32" i="60"/>
  <c r="Y32" i="60"/>
  <c r="E32" i="60"/>
  <c r="N32" i="60"/>
  <c r="M32" i="60"/>
  <c r="Z16" i="60"/>
  <c r="F16" i="60"/>
  <c r="Y16" i="60"/>
  <c r="E16" i="60"/>
  <c r="N16" i="60"/>
  <c r="M16" i="60"/>
  <c r="I32" i="60"/>
  <c r="Q30" i="60"/>
  <c r="Z30" i="60"/>
  <c r="F30" i="60"/>
  <c r="Y30" i="60"/>
  <c r="E30" i="60"/>
  <c r="N30" i="60"/>
  <c r="M30" i="60"/>
  <c r="Q16" i="60"/>
  <c r="I18" i="60"/>
  <c r="R34" i="60"/>
  <c r="V18" i="60"/>
  <c r="R36" i="60"/>
  <c r="R16" i="60"/>
  <c r="J32" i="60"/>
  <c r="I28" i="60"/>
  <c r="Q28" i="60"/>
  <c r="Z28" i="60"/>
  <c r="F28" i="60"/>
  <c r="Y28" i="60"/>
  <c r="E28" i="60"/>
  <c r="N28" i="60"/>
  <c r="M28" i="60"/>
  <c r="Z14" i="60"/>
  <c r="F14" i="60"/>
  <c r="Y14" i="60"/>
  <c r="E14" i="60"/>
  <c r="N14" i="60"/>
  <c r="M14" i="60"/>
  <c r="V30" i="60"/>
  <c r="J28" i="60"/>
  <c r="R18" i="60"/>
  <c r="R30" i="60"/>
  <c r="U28" i="60"/>
  <c r="Q26" i="60"/>
  <c r="Z26" i="60"/>
  <c r="F26" i="60"/>
  <c r="Y26" i="60"/>
  <c r="E26" i="60"/>
  <c r="N26" i="60"/>
  <c r="M26" i="60"/>
  <c r="Q14" i="60"/>
  <c r="R32" i="60"/>
  <c r="R26" i="60"/>
  <c r="U26" i="60"/>
  <c r="Q24" i="60"/>
  <c r="Z24" i="60"/>
  <c r="F24" i="60"/>
  <c r="Y24" i="60"/>
  <c r="E24" i="60"/>
  <c r="N24" i="60"/>
  <c r="M24" i="60"/>
  <c r="Z12" i="60"/>
  <c r="F12" i="60"/>
  <c r="Y12" i="60"/>
  <c r="E12" i="60"/>
  <c r="N12" i="60"/>
  <c r="M12" i="60"/>
  <c r="V26" i="60"/>
  <c r="J16" i="60"/>
  <c r="U24" i="60"/>
  <c r="Q22" i="60"/>
  <c r="Z22" i="60"/>
  <c r="F22" i="60"/>
  <c r="Y22" i="60"/>
  <c r="E22" i="60"/>
  <c r="N22" i="60"/>
  <c r="M22" i="60"/>
  <c r="Q12" i="60"/>
  <c r="J12" i="60"/>
  <c r="J14" i="60"/>
  <c r="I16" i="60"/>
  <c r="Z20" i="60"/>
  <c r="F20" i="60"/>
  <c r="Y20" i="60"/>
  <c r="E20" i="60"/>
  <c r="N20" i="60"/>
  <c r="M20" i="60"/>
  <c r="R14" i="60"/>
  <c r="V32" i="60"/>
  <c r="V36" i="60"/>
  <c r="R22" i="60"/>
  <c r="V12" i="49"/>
  <c r="E12" i="49"/>
  <c r="U12" i="49"/>
  <c r="M12" i="49"/>
  <c r="R12" i="49"/>
  <c r="F6" i="49" s="1"/>
  <c r="E4" i="56"/>
  <c r="F4" i="56"/>
  <c r="F3" i="56"/>
  <c r="F5" i="56"/>
  <c r="E5" i="56"/>
  <c r="E3" i="56"/>
  <c r="E4" i="54"/>
  <c r="F3" i="54"/>
  <c r="E3" i="54"/>
  <c r="F3" i="53"/>
  <c r="E3" i="53"/>
  <c r="F4" i="53"/>
  <c r="E4" i="53"/>
  <c r="E16" i="49"/>
  <c r="V111" i="49"/>
  <c r="Z111" i="49"/>
  <c r="Q67" i="49"/>
  <c r="M126" i="49"/>
  <c r="U67" i="49"/>
  <c r="M67" i="49"/>
  <c r="N111" i="49"/>
  <c r="R16" i="49"/>
  <c r="J16" i="49"/>
  <c r="Y111" i="49"/>
  <c r="F107" i="49"/>
  <c r="E107" i="49"/>
  <c r="I121" i="49"/>
  <c r="N67" i="49"/>
  <c r="V16" i="49"/>
  <c r="Z16" i="49"/>
  <c r="V107" i="49"/>
  <c r="N126" i="49"/>
  <c r="R126" i="49"/>
  <c r="Y67" i="49"/>
  <c r="I126" i="49"/>
  <c r="U111" i="49"/>
  <c r="M107" i="49"/>
  <c r="Z107" i="49"/>
  <c r="R107" i="49"/>
  <c r="J126" i="49"/>
  <c r="Z126" i="49"/>
  <c r="R67" i="49"/>
  <c r="Q107" i="49"/>
  <c r="M16" i="49"/>
  <c r="E26" i="49"/>
  <c r="E126" i="49"/>
  <c r="M77" i="49"/>
  <c r="U107" i="49"/>
  <c r="I107" i="49"/>
  <c r="R77" i="49"/>
  <c r="E121" i="49"/>
  <c r="E111" i="49"/>
  <c r="N107" i="49"/>
  <c r="M111" i="49"/>
  <c r="F16" i="49"/>
  <c r="R111" i="49"/>
  <c r="V42" i="49"/>
  <c r="F7" i="49" s="1"/>
  <c r="Y126" i="49"/>
  <c r="I67" i="49"/>
  <c r="I76" i="49"/>
  <c r="Z32" i="49"/>
  <c r="J111" i="49"/>
  <c r="N16" i="49"/>
  <c r="F5" i="49" s="1"/>
  <c r="F126" i="49"/>
  <c r="Q111" i="49"/>
  <c r="E42" i="49"/>
  <c r="Y44" i="49"/>
  <c r="Z92" i="49"/>
  <c r="Y46" i="49"/>
  <c r="E67" i="49"/>
  <c r="Z67" i="49"/>
  <c r="M87" i="49"/>
  <c r="Y77" i="49"/>
  <c r="E77" i="49"/>
  <c r="I92" i="49"/>
  <c r="J76" i="49"/>
  <c r="Q32" i="49"/>
  <c r="V127" i="49"/>
  <c r="U66" i="49"/>
  <c r="Z42" i="49"/>
  <c r="U52" i="49"/>
  <c r="Y117" i="49"/>
  <c r="Y22" i="49"/>
  <c r="N32" i="49"/>
  <c r="U32" i="49"/>
  <c r="I22" i="49"/>
  <c r="I66" i="49"/>
  <c r="E66" i="49"/>
  <c r="M127" i="49"/>
  <c r="U76" i="49"/>
  <c r="V76" i="49"/>
  <c r="Q117" i="49"/>
  <c r="E117" i="49"/>
  <c r="Z117" i="49"/>
  <c r="U22" i="49"/>
  <c r="R22" i="49"/>
  <c r="V117" i="49"/>
  <c r="Z76" i="49"/>
  <c r="R32" i="49"/>
  <c r="Y76" i="49"/>
  <c r="R66" i="49"/>
  <c r="V66" i="49"/>
  <c r="Z66" i="49"/>
  <c r="Z127" i="49"/>
  <c r="N22" i="49"/>
  <c r="R127" i="49"/>
  <c r="J117" i="49"/>
  <c r="J42" i="49"/>
  <c r="R52" i="49"/>
  <c r="Q66" i="49"/>
  <c r="Y127" i="49"/>
  <c r="F76" i="49"/>
  <c r="I127" i="49"/>
  <c r="U127" i="49"/>
  <c r="J22" i="49"/>
  <c r="Y32" i="49"/>
  <c r="J127" i="49"/>
  <c r="M22" i="49"/>
  <c r="R76" i="49"/>
  <c r="M76" i="49"/>
  <c r="E76" i="49"/>
  <c r="I117" i="49"/>
  <c r="U42" i="49"/>
  <c r="M117" i="49"/>
  <c r="Q22" i="49"/>
  <c r="M32" i="49"/>
  <c r="I32" i="49"/>
  <c r="Y66" i="49"/>
  <c r="Q76" i="49"/>
  <c r="Z52" i="49"/>
  <c r="F66" i="49"/>
  <c r="U117" i="49"/>
  <c r="F117" i="49"/>
  <c r="N117" i="49"/>
  <c r="V32" i="49"/>
  <c r="Q127" i="49"/>
  <c r="F127" i="49"/>
  <c r="I42" i="49"/>
  <c r="Z22" i="49"/>
  <c r="F22" i="49"/>
  <c r="M42" i="49"/>
  <c r="E32" i="49"/>
  <c r="F32" i="49"/>
  <c r="M66" i="49"/>
  <c r="J66" i="49"/>
  <c r="R42" i="49"/>
  <c r="I52" i="49"/>
  <c r="Y72" i="49"/>
  <c r="F3" i="49"/>
  <c r="F8" i="49"/>
  <c r="E7" i="49"/>
  <c r="G7" i="41"/>
  <c r="G3" i="41"/>
  <c r="H3" i="41"/>
  <c r="H4" i="41"/>
  <c r="H6" i="41"/>
  <c r="H7" i="41"/>
  <c r="G4" i="41"/>
  <c r="H5" i="41"/>
  <c r="G5" i="41"/>
  <c r="E4" i="40"/>
  <c r="F12" i="46"/>
  <c r="E12" i="46"/>
  <c r="F10" i="46"/>
  <c r="E6" i="46"/>
  <c r="E11" i="46"/>
  <c r="E5" i="46"/>
  <c r="E10" i="46"/>
  <c r="F9" i="46"/>
  <c r="F11" i="46"/>
  <c r="F5" i="46"/>
  <c r="F4" i="46"/>
  <c r="F6" i="46"/>
  <c r="F3" i="46"/>
  <c r="E8" i="46"/>
  <c r="E7" i="46"/>
  <c r="F7" i="46"/>
  <c r="E9" i="46"/>
  <c r="E4" i="46"/>
  <c r="E3" i="46"/>
  <c r="F8" i="46"/>
  <c r="F5" i="40"/>
  <c r="E5" i="40"/>
  <c r="E3" i="40"/>
  <c r="B4" i="40"/>
  <c r="B3" i="40"/>
  <c r="E4" i="60" l="1"/>
  <c r="E7" i="60"/>
  <c r="F7" i="60"/>
  <c r="E8" i="60"/>
  <c r="F3" i="60"/>
  <c r="F6" i="60"/>
  <c r="F5" i="60"/>
  <c r="E3" i="60"/>
  <c r="F8" i="60"/>
  <c r="F4" i="60"/>
  <c r="E6" i="60"/>
  <c r="E5" i="60"/>
  <c r="E8" i="49"/>
  <c r="E5" i="49"/>
  <c r="F4" i="49"/>
  <c r="E6" i="49"/>
  <c r="F9" i="40"/>
  <c r="F3" i="40" s="1"/>
  <c r="J9" i="40"/>
  <c r="F4" i="40" s="1"/>
  <c r="AR81" i="49"/>
  <c r="V81" i="49" s="1"/>
  <c r="C3" i="49"/>
  <c r="E4" i="49"/>
  <c r="C4" i="49"/>
  <c r="E3" i="49"/>
  <c r="M81" i="49" l="1"/>
  <c r="Y81" i="49"/>
  <c r="R81" i="49"/>
  <c r="N81" i="49"/>
  <c r="Q81" i="49"/>
  <c r="I81" i="49"/>
  <c r="E81" i="49"/>
  <c r="J81" i="49"/>
  <c r="U81" i="49"/>
  <c r="Z81" i="49"/>
  <c r="F81" i="49"/>
</calcChain>
</file>

<file path=xl/sharedStrings.xml><?xml version="1.0" encoding="utf-8"?>
<sst xmlns="http://schemas.openxmlformats.org/spreadsheetml/2006/main" count="1741" uniqueCount="322">
  <si>
    <t>Time</t>
  </si>
  <si>
    <t>OF</t>
  </si>
  <si>
    <t>Dev</t>
  </si>
  <si>
    <t>Best</t>
  </si>
  <si>
    <t>#best</t>
  </si>
  <si>
    <t>Instance</t>
  </si>
  <si>
    <t>662_bus.mtx</t>
  </si>
  <si>
    <t>ash331.mtx</t>
  </si>
  <si>
    <t>bcspwr04.mtx</t>
  </si>
  <si>
    <t>bcsstk01.mtx</t>
  </si>
  <si>
    <t>bp_0.mtx</t>
  </si>
  <si>
    <t>can_161.mtx</t>
  </si>
  <si>
    <t>cavity03.mtx</t>
  </si>
  <si>
    <t>ck656.mtx</t>
  </si>
  <si>
    <t>dwt_361.mtx</t>
  </si>
  <si>
    <t>dwt_59.mtx</t>
  </si>
  <si>
    <t>e05r0200.mtx</t>
  </si>
  <si>
    <t>fs_541_2.mtx</t>
  </si>
  <si>
    <t>gent113.mtx</t>
  </si>
  <si>
    <t>gr_30_30.mtx</t>
  </si>
  <si>
    <t>gre_1107.mtx</t>
  </si>
  <si>
    <t>hor_131.mtx</t>
  </si>
  <si>
    <t>ibm32.mtx</t>
  </si>
  <si>
    <t>illc1033.mtx</t>
  </si>
  <si>
    <t>impcol_d.mtx</t>
  </si>
  <si>
    <t>jagmesh2.mtx</t>
  </si>
  <si>
    <t>lns_131.mtx</t>
  </si>
  <si>
    <t>lshp_265.mtx</t>
  </si>
  <si>
    <t>lund_b.mtx</t>
  </si>
  <si>
    <t>nos4.mtx</t>
  </si>
  <si>
    <t>pores_1.mtx</t>
  </si>
  <si>
    <t>sstmodel.mtx</t>
  </si>
  <si>
    <t>will199.mtx</t>
  </si>
  <si>
    <t>Algorithm</t>
  </si>
  <si>
    <t>Iteraciones</t>
  </si>
  <si>
    <t>662_bus</t>
  </si>
  <si>
    <t>ash219</t>
  </si>
  <si>
    <t>ash292</t>
  </si>
  <si>
    <t>ash331</t>
  </si>
  <si>
    <t>ash608</t>
  </si>
  <si>
    <t>ash85</t>
  </si>
  <si>
    <t>ash958</t>
  </si>
  <si>
    <t>bcspwr01</t>
  </si>
  <si>
    <t>bcspwr02</t>
  </si>
  <si>
    <t>bcspwr03</t>
  </si>
  <si>
    <t>bcspwr04</t>
  </si>
  <si>
    <t>bcspwr05</t>
  </si>
  <si>
    <t>bcsstk01</t>
  </si>
  <si>
    <t>bcsstk02</t>
  </si>
  <si>
    <t>bcsstk03</t>
  </si>
  <si>
    <t>bcsstk04</t>
  </si>
  <si>
    <t>bp_____0</t>
  </si>
  <si>
    <t>can_1054</t>
  </si>
  <si>
    <t>can_1072</t>
  </si>
  <si>
    <t>can__144</t>
  </si>
  <si>
    <t>can__161</t>
  </si>
  <si>
    <t>can__187</t>
  </si>
  <si>
    <t>can___24</t>
  </si>
  <si>
    <t>ACO 1</t>
  </si>
  <si>
    <t>ACO 10</t>
  </si>
  <si>
    <t>ACO 20</t>
  </si>
  <si>
    <t>can___61</t>
  </si>
  <si>
    <t>can___73</t>
  </si>
  <si>
    <t>cavity01</t>
  </si>
  <si>
    <t>cavity02</t>
  </si>
  <si>
    <t>cavity03</t>
  </si>
  <si>
    <t>cavity04</t>
  </si>
  <si>
    <t>cdde1</t>
  </si>
  <si>
    <t>cdde2</t>
  </si>
  <si>
    <t>cdde3</t>
  </si>
  <si>
    <t>cdde4</t>
  </si>
  <si>
    <t>cdde5</t>
  </si>
  <si>
    <t>cdde6</t>
  </si>
  <si>
    <t>ck104</t>
  </si>
  <si>
    <t>ck656</t>
  </si>
  <si>
    <t>curtis54</t>
  </si>
  <si>
    <t>dwt__198</t>
  </si>
  <si>
    <t>dwt__346</t>
  </si>
  <si>
    <t>dwt__492</t>
  </si>
  <si>
    <t>dwt__512</t>
  </si>
  <si>
    <t>e05r0000</t>
  </si>
  <si>
    <t>e05r0100</t>
  </si>
  <si>
    <t>e05r0200</t>
  </si>
  <si>
    <t>e05r0300</t>
  </si>
  <si>
    <t>e05r0400</t>
  </si>
  <si>
    <t>eris1176</t>
  </si>
  <si>
    <t>fidap001</t>
  </si>
  <si>
    <t>fidap002</t>
  </si>
  <si>
    <t>fidap004</t>
  </si>
  <si>
    <t>fidap005</t>
  </si>
  <si>
    <t>fs_183_1</t>
  </si>
  <si>
    <t>fs_183_3</t>
  </si>
  <si>
    <t>fs_183_4</t>
  </si>
  <si>
    <t>fs_183_6</t>
  </si>
  <si>
    <t>fs_541_1</t>
  </si>
  <si>
    <t>fs_541_2</t>
  </si>
  <si>
    <t>fs_680_1</t>
  </si>
  <si>
    <t>fs_760_1</t>
  </si>
  <si>
    <t>gent113</t>
  </si>
  <si>
    <t>gre_1107</t>
  </si>
  <si>
    <t>gr_30_30</t>
  </si>
  <si>
    <t>hor__131</t>
  </si>
  <si>
    <t>ibm32</t>
  </si>
  <si>
    <t>illc1033</t>
  </si>
  <si>
    <t>impcol_b</t>
  </si>
  <si>
    <t>impcol_c</t>
  </si>
  <si>
    <t>impcol_d</t>
  </si>
  <si>
    <t>jagmesh1</t>
  </si>
  <si>
    <t>jagmesh2</t>
  </si>
  <si>
    <t>jgl009</t>
  </si>
  <si>
    <t>jgl011</t>
  </si>
  <si>
    <t>lnsp_131</t>
  </si>
  <si>
    <t>lns__131</t>
  </si>
  <si>
    <t>lop163</t>
  </si>
  <si>
    <t>lshp1009</t>
  </si>
  <si>
    <t>lshp_265</t>
  </si>
  <si>
    <t>lshp_406</t>
  </si>
  <si>
    <t>lund_a</t>
  </si>
  <si>
    <t>lund_b</t>
  </si>
  <si>
    <t>nos1</t>
  </si>
  <si>
    <t>nos2</t>
  </si>
  <si>
    <t>nos4</t>
  </si>
  <si>
    <t>pores_1</t>
  </si>
  <si>
    <t>rgg010</t>
  </si>
  <si>
    <t>saylr1</t>
  </si>
  <si>
    <t>shl__200</t>
  </si>
  <si>
    <t>shl__400</t>
  </si>
  <si>
    <t>shl____0</t>
  </si>
  <si>
    <t>steam1</t>
  </si>
  <si>
    <t>str200</t>
  </si>
  <si>
    <t>will199</t>
  </si>
  <si>
    <t>will57</t>
  </si>
  <si>
    <t>young1c</t>
  </si>
  <si>
    <t xml:space="preserve">Iterated Local Search </t>
  </si>
  <si>
    <t>add20</t>
  </si>
  <si>
    <t>bcspwr06</t>
  </si>
  <si>
    <t>bcspwr07</t>
  </si>
  <si>
    <t>blckhole</t>
  </si>
  <si>
    <t>saylr3</t>
  </si>
  <si>
    <t>sstmodel</t>
  </si>
  <si>
    <t>LB</t>
  </si>
  <si>
    <t>UB</t>
  </si>
  <si>
    <t>Heuristic 2</t>
  </si>
  <si>
    <t>Heuristic 1</t>
  </si>
  <si>
    <t>Heuristic 3</t>
  </si>
  <si>
    <t>add20.mtx</t>
  </si>
  <si>
    <t>ash219.mtx</t>
  </si>
  <si>
    <t>ash292.mtx</t>
  </si>
  <si>
    <t>ash608.mtx</t>
  </si>
  <si>
    <t>ash85.mtx</t>
  </si>
  <si>
    <t>ash958.mtx</t>
  </si>
  <si>
    <t>bcspwr01.mtx</t>
  </si>
  <si>
    <t>bcspwr02.mtx</t>
  </si>
  <si>
    <t>bcspwr03.mtx</t>
  </si>
  <si>
    <t>bcspwr05.mtx</t>
  </si>
  <si>
    <t>bcspwr06.mtx</t>
  </si>
  <si>
    <t>bcspwr07.mtx</t>
  </si>
  <si>
    <t>bcsstk02.mtx</t>
  </si>
  <si>
    <t>bcsstk03.mtx</t>
  </si>
  <si>
    <t>bcsstk04.mtx</t>
  </si>
  <si>
    <t>blckhole.mtx</t>
  </si>
  <si>
    <t>can_1054.mtx</t>
  </si>
  <si>
    <t>can_1072.mtx</t>
  </si>
  <si>
    <t>can_144.mtx</t>
  </si>
  <si>
    <t>can_187.mtx</t>
  </si>
  <si>
    <t>can_24.mtx</t>
  </si>
  <si>
    <t>can_61.mtx</t>
  </si>
  <si>
    <t>can_73.mtx</t>
  </si>
  <si>
    <t>cavity01.mtx</t>
  </si>
  <si>
    <t>cavity02.mtx</t>
  </si>
  <si>
    <t>cavity04.mtx</t>
  </si>
  <si>
    <t>cdde1.mtx</t>
  </si>
  <si>
    <t>cdde2.mtx</t>
  </si>
  <si>
    <t>cdde3.mtx</t>
  </si>
  <si>
    <t>cdde4.mtx</t>
  </si>
  <si>
    <t>cdde5.mtx</t>
  </si>
  <si>
    <t>cdde6.mtx</t>
  </si>
  <si>
    <t>ck104.mtx</t>
  </si>
  <si>
    <t>ck400.mtx</t>
  </si>
  <si>
    <t>curtis54.mtx</t>
  </si>
  <si>
    <t>dwt_162.mtx</t>
  </si>
  <si>
    <t>dwt_193.mtx</t>
  </si>
  <si>
    <t>dwt_209.mtx</t>
  </si>
  <si>
    <t>dwt_221.mtx</t>
  </si>
  <si>
    <t>dwt_245.mtx</t>
  </si>
  <si>
    <t>dwt_310.mtx</t>
  </si>
  <si>
    <t>dwt_419.mtx</t>
  </si>
  <si>
    <t>dwt_503.mtx</t>
  </si>
  <si>
    <t>dwt_66.mtx</t>
  </si>
  <si>
    <t>dwt_72.mtx</t>
  </si>
  <si>
    <t>dwt_87.mtx</t>
  </si>
  <si>
    <t>dwt_918.mtx</t>
  </si>
  <si>
    <t>dwt_992.mtx</t>
  </si>
  <si>
    <t>dwt__198.mtx</t>
  </si>
  <si>
    <t>dwt__346.mtx</t>
  </si>
  <si>
    <t>dwt__492.mtx</t>
  </si>
  <si>
    <t>dwt__512.mtx</t>
  </si>
  <si>
    <t>e05r0000.mtx</t>
  </si>
  <si>
    <t>e05r0100.mtx</t>
  </si>
  <si>
    <t>e05r0300.mtx</t>
  </si>
  <si>
    <t>e05r0400.mtx</t>
  </si>
  <si>
    <t>eris1176.mtx</t>
  </si>
  <si>
    <t>fidap001.mtx</t>
  </si>
  <si>
    <t>fidap002.mtx</t>
  </si>
  <si>
    <t>fidap004.mtx</t>
  </si>
  <si>
    <t>fidap005.mtx</t>
  </si>
  <si>
    <t>fs_183_1.mtx</t>
  </si>
  <si>
    <t>fs_183_3.mtx</t>
  </si>
  <si>
    <t>fs_183_4.mtx</t>
  </si>
  <si>
    <t>fs_183_6.mtx</t>
  </si>
  <si>
    <t>fs_541_1.mtx</t>
  </si>
  <si>
    <t>fs_680_1.mtx</t>
  </si>
  <si>
    <t>fs_760_1.mtx</t>
  </si>
  <si>
    <t>impcol_b.mtx</t>
  </si>
  <si>
    <t>impcol_c.mtx</t>
  </si>
  <si>
    <t>jagmesh1.mtx</t>
  </si>
  <si>
    <t>jgl009.mtx</t>
  </si>
  <si>
    <t>jgl011.mtx</t>
  </si>
  <si>
    <t>lnsp_131.mtx</t>
  </si>
  <si>
    <t>lop163.mtx</t>
  </si>
  <si>
    <t>lshp1009.mtx</t>
  </si>
  <si>
    <t>lshp_406.mtx</t>
  </si>
  <si>
    <t>lund_a.mtx</t>
  </si>
  <si>
    <t>nos1.mtx</t>
  </si>
  <si>
    <t>nos2.mtx</t>
  </si>
  <si>
    <t>rgg010.mtx</t>
  </si>
  <si>
    <t>saylr1.mtx</t>
  </si>
  <si>
    <t>saylr3.mtx</t>
  </si>
  <si>
    <t>shl__400.mtx</t>
  </si>
  <si>
    <t>shl____0.mtx</t>
  </si>
  <si>
    <t>steam1.mtx</t>
  </si>
  <si>
    <t>str_200.mtx</t>
  </si>
  <si>
    <t>will57.mtx</t>
  </si>
  <si>
    <t>young1c.mtx</t>
  </si>
  <si>
    <t>Constructive</t>
  </si>
  <si>
    <t>-</t>
  </si>
  <si>
    <t>ck400</t>
  </si>
  <si>
    <t>dwt_66</t>
  </si>
  <si>
    <t>dwt_59</t>
  </si>
  <si>
    <t>dwt_72</t>
  </si>
  <si>
    <t>dwt_87</t>
  </si>
  <si>
    <t>dwt_162</t>
  </si>
  <si>
    <t>dwt_193</t>
  </si>
  <si>
    <t>dwt_221</t>
  </si>
  <si>
    <t>dwt_245</t>
  </si>
  <si>
    <t>dwt_310</t>
  </si>
  <si>
    <t>dwt_361</t>
  </si>
  <si>
    <t>dwt_419</t>
  </si>
  <si>
    <t>dwt_503</t>
  </si>
  <si>
    <t>dwt_918</t>
  </si>
  <si>
    <t>dwt_992</t>
  </si>
  <si>
    <t>shl__200.mtx</t>
  </si>
  <si>
    <t>dwt_209</t>
  </si>
  <si>
    <t>ILS 1</t>
  </si>
  <si>
    <t>ILS 10</t>
  </si>
  <si>
    <t>ILS 20</t>
  </si>
  <si>
    <t>OF1</t>
  </si>
  <si>
    <t>Time1</t>
  </si>
  <si>
    <t>OF2</t>
  </si>
  <si>
    <t>Time2</t>
  </si>
  <si>
    <t>OF3</t>
  </si>
  <si>
    <t>Time3</t>
  </si>
  <si>
    <t>OF4</t>
  </si>
  <si>
    <t>Time4</t>
  </si>
  <si>
    <t>OF5</t>
  </si>
  <si>
    <t>Time5</t>
  </si>
  <si>
    <t>OF6</t>
  </si>
  <si>
    <t>Time6</t>
  </si>
  <si>
    <t>OF7</t>
  </si>
  <si>
    <t>Time7</t>
  </si>
  <si>
    <t>OF8</t>
  </si>
  <si>
    <t>Time8</t>
  </si>
  <si>
    <t>OF9</t>
  </si>
  <si>
    <t>Time9</t>
  </si>
  <si>
    <t>OF10</t>
  </si>
  <si>
    <t>Time10</t>
  </si>
  <si>
    <t>OF11</t>
  </si>
  <si>
    <t>Time11</t>
  </si>
  <si>
    <t>OF12</t>
  </si>
  <si>
    <t>Time12</t>
  </si>
  <si>
    <t>OF13</t>
  </si>
  <si>
    <t>Time13</t>
  </si>
  <si>
    <t>OF14</t>
  </si>
  <si>
    <t>Time14</t>
  </si>
  <si>
    <t>OF15</t>
  </si>
  <si>
    <t>Time15</t>
  </si>
  <si>
    <t>OF16</t>
  </si>
  <si>
    <t>Time16</t>
  </si>
  <si>
    <t>OF17</t>
  </si>
  <si>
    <t>Time17</t>
  </si>
  <si>
    <t>OF18</t>
  </si>
  <si>
    <t>Time18</t>
  </si>
  <si>
    <t>OF19</t>
  </si>
  <si>
    <t>Time19</t>
  </si>
  <si>
    <t>OF20</t>
  </si>
  <si>
    <t>Time20</t>
  </si>
  <si>
    <t>Variable Neighborhood Search</t>
  </si>
  <si>
    <t>Tabu Search</t>
  </si>
  <si>
    <t>perturbation 1</t>
  </si>
  <si>
    <t>localsearch 1</t>
  </si>
  <si>
    <t>beta 0.08</t>
  </si>
  <si>
    <t>beta 0.18</t>
  </si>
  <si>
    <t>original</t>
  </si>
  <si>
    <t>constructive</t>
  </si>
  <si>
    <t>Baseline</t>
  </si>
  <si>
    <r>
      <t>LS</t>
    </r>
    <r>
      <rPr>
        <b/>
        <vertAlign val="subscript"/>
        <sz val="12"/>
        <color theme="1"/>
        <rFont val="Times New Roman"/>
        <family val="1"/>
      </rPr>
      <t>1</t>
    </r>
  </si>
  <si>
    <r>
      <t>P</t>
    </r>
    <r>
      <rPr>
        <b/>
        <vertAlign val="subscript"/>
        <sz val="12"/>
        <color theme="1"/>
        <rFont val="Times New Roman"/>
        <family val="1"/>
      </rPr>
      <t>1</t>
    </r>
  </si>
  <si>
    <t>β = 0.18</t>
  </si>
  <si>
    <t>β = 0.08</t>
  </si>
  <si>
    <t>Post-processing?</t>
  </si>
  <si>
    <t>No</t>
  </si>
  <si>
    <t>Yes</t>
  </si>
  <si>
    <t>Avg.</t>
  </si>
  <si>
    <t>Dev.</t>
  </si>
  <si>
    <t>Strategie</t>
  </si>
  <si>
    <t>Last accepted solution</t>
  </si>
  <si>
    <t>Best solution</t>
  </si>
  <si>
    <t>Iterations</t>
  </si>
  <si>
    <t>Local Search</t>
  </si>
  <si>
    <t>ILS</t>
  </si>
  <si>
    <r>
      <t>G</t>
    </r>
    <r>
      <rPr>
        <b/>
        <vertAlign val="subscript"/>
        <sz val="12"/>
        <color theme="1"/>
        <rFont val="Times New Roman"/>
        <family val="1"/>
      </rPr>
      <t>d</t>
    </r>
  </si>
  <si>
    <r>
      <t>G</t>
    </r>
    <r>
      <rPr>
        <b/>
        <vertAlign val="subscript"/>
        <sz val="12"/>
        <color theme="1"/>
        <rFont val="Times New Roman"/>
        <family val="1"/>
      </rPr>
      <t>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</si>
</sst>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8" x14ac:knownFonts="1">
    <font>
      <sz val="11"/>
      <color theme="1"/>
      <name val="Calibri"/>
      <family val="2"/>
      <scheme val="minor"/>
    </font>
    <font>
      <sz val="12"/>
      <color theme="1"/>
      <name val="Times New Roman"/>
      <family val="1"/>
    </font>
    <font>
      <b/>
      <sz val="12"/>
      <color theme="1"/>
      <name val="Times New Roman"/>
      <family val="1"/>
    </font>
    <font>
      <sz val="11"/>
      <color theme="1"/>
      <name val="Calibri"/>
      <family val="2"/>
      <scheme val="minor"/>
    </font>
    <font>
      <sz val="12"/>
      <color theme="1"/>
      <name val="Calibri"/>
      <family val="2"/>
      <scheme val="minor"/>
    </font>
    <font>
      <b/>
      <sz val="11"/>
      <color theme="1"/>
      <name val="Calibri"/>
      <family val="2"/>
      <scheme val="minor"/>
    </font>
    <font>
      <sz val="11"/>
      <color rgb="FF000000"/>
      <name val="Aptos Narrow"/>
      <family val="2"/>
    </font>
    <font>
      <b/>
      <vertAlign val="subscript"/>
      <sz val="12"/>
      <color theme="1"/>
      <name val="Times New Roman"/>
      <family val="1"/>
    </font>
  </fonts>
  <fills count="4">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s>
  <cellStyleXfs count="5">
    <xf numFmtId="0" fontId="0" fillId="0" borderId="0"/>
    <xf numFmtId="9" fontId="3" fillId="0" borderId="0" applyFont="0" applyFill="0" applyBorder="0" applyAlignment="0" applyProtection="0"/>
    <xf numFmtId="0" fontId="4" fillId="0" borderId="0"/>
    <xf numFmtId="0" fontId="3" fillId="0" borderId="0"/>
    <xf numFmtId="9" fontId="3" fillId="0" borderId="0" applyFont="0" applyFill="0" applyBorder="0" applyAlignment="0" applyProtection="0"/>
  </cellStyleXfs>
  <cellXfs count="50">
    <xf numFmtId="0" fontId="0" fillId="0" borderId="0" xfId="0"/>
    <xf numFmtId="0" fontId="1" fillId="0" borderId="1" xfId="0" applyFont="1" applyBorder="1"/>
    <xf numFmtId="0" fontId="1" fillId="0" borderId="0" xfId="0" applyFont="1"/>
    <xf numFmtId="10" fontId="1" fillId="0" borderId="1" xfId="1" applyNumberFormat="1" applyFont="1" applyBorder="1"/>
    <xf numFmtId="2" fontId="1" fillId="3" borderId="1" xfId="0" applyNumberFormat="1" applyFont="1" applyFill="1" applyBorder="1"/>
    <xf numFmtId="2" fontId="2" fillId="3" borderId="1" xfId="0" applyNumberFormat="1" applyFont="1" applyFill="1" applyBorder="1"/>
    <xf numFmtId="10" fontId="1" fillId="3" borderId="1" xfId="1" applyNumberFormat="1" applyFont="1" applyFill="1" applyBorder="1"/>
    <xf numFmtId="1" fontId="1" fillId="3" borderId="1" xfId="0" applyNumberFormat="1" applyFont="1" applyFill="1" applyBorder="1"/>
    <xf numFmtId="10" fontId="2" fillId="3" borderId="1" xfId="1" applyNumberFormat="1" applyFont="1" applyFill="1" applyBorder="1"/>
    <xf numFmtId="10" fontId="1" fillId="0" borderId="0" xfId="1" applyNumberFormat="1" applyFont="1" applyBorder="1"/>
    <xf numFmtId="0" fontId="1" fillId="2" borderId="1" xfId="0" applyFont="1" applyFill="1" applyBorder="1" applyAlignment="1">
      <alignment horizontal="center"/>
    </xf>
    <xf numFmtId="0" fontId="2" fillId="2" borderId="1" xfId="0" applyFont="1" applyFill="1" applyBorder="1" applyAlignment="1">
      <alignment horizontal="center"/>
    </xf>
    <xf numFmtId="164" fontId="2" fillId="3" borderId="1" xfId="0" applyNumberFormat="1" applyFont="1" applyFill="1" applyBorder="1"/>
    <xf numFmtId="164" fontId="1" fillId="3" borderId="1" xfId="0" applyNumberFormat="1" applyFont="1" applyFill="1" applyBorder="1"/>
    <xf numFmtId="1" fontId="2" fillId="3" borderId="1" xfId="0" applyNumberFormat="1" applyFont="1" applyFill="1" applyBorder="1"/>
    <xf numFmtId="2" fontId="1" fillId="3" borderId="1" xfId="0" applyNumberFormat="1" applyFont="1" applyFill="1" applyBorder="1" applyAlignment="1">
      <alignment horizontal="center"/>
    </xf>
    <xf numFmtId="165" fontId="1" fillId="3" borderId="1" xfId="0" applyNumberFormat="1" applyFont="1" applyFill="1" applyBorder="1"/>
    <xf numFmtId="165" fontId="2" fillId="3" borderId="1" xfId="0" applyNumberFormat="1" applyFont="1" applyFill="1" applyBorder="1"/>
    <xf numFmtId="0" fontId="0" fillId="0" borderId="1" xfId="0" applyBorder="1"/>
    <xf numFmtId="0" fontId="0" fillId="0" borderId="1" xfId="0" applyBorder="1" applyAlignment="1">
      <alignment horizontal="right"/>
    </xf>
    <xf numFmtId="0" fontId="0" fillId="0" borderId="7" xfId="0" applyBorder="1"/>
    <xf numFmtId="10" fontId="1" fillId="0" borderId="2" xfId="1" applyNumberFormat="1" applyFont="1" applyBorder="1"/>
    <xf numFmtId="0" fontId="1" fillId="0" borderId="2" xfId="0" applyFont="1" applyBorder="1"/>
    <xf numFmtId="0" fontId="0" fillId="0" borderId="2" xfId="0" applyBorder="1"/>
    <xf numFmtId="10" fontId="1" fillId="0" borderId="7" xfId="1" applyNumberFormat="1" applyFont="1" applyBorder="1"/>
    <xf numFmtId="0" fontId="1" fillId="0" borderId="7" xfId="0" applyFont="1" applyBorder="1"/>
    <xf numFmtId="0" fontId="5" fillId="0" borderId="1" xfId="0" applyFont="1" applyBorder="1"/>
    <xf numFmtId="0" fontId="2" fillId="0" borderId="1" xfId="0" applyFont="1" applyBorder="1"/>
    <xf numFmtId="0" fontId="0" fillId="0" borderId="0" xfId="0" applyAlignment="1">
      <alignment horizontal="center"/>
    </xf>
    <xf numFmtId="164" fontId="1" fillId="3" borderId="1" xfId="0" applyNumberFormat="1" applyFont="1" applyFill="1" applyBorder="1" applyAlignment="1">
      <alignment horizontal="center"/>
    </xf>
    <xf numFmtId="0" fontId="2" fillId="0" borderId="0" xfId="0" applyFont="1" applyAlignment="1">
      <alignment horizontal="center"/>
    </xf>
    <xf numFmtId="0" fontId="1" fillId="0" borderId="3" xfId="0" applyFont="1" applyBorder="1"/>
    <xf numFmtId="0" fontId="2" fillId="0" borderId="3" xfId="0" applyFont="1" applyBorder="1"/>
    <xf numFmtId="0" fontId="0" fillId="0" borderId="3" xfId="0" applyBorder="1"/>
    <xf numFmtId="0" fontId="0" fillId="0" borderId="10" xfId="0" applyBorder="1"/>
    <xf numFmtId="10" fontId="1" fillId="0" borderId="10" xfId="1" applyNumberFormat="1" applyFont="1" applyBorder="1"/>
    <xf numFmtId="0" fontId="1" fillId="0" borderId="10" xfId="0" applyFont="1" applyBorder="1"/>
    <xf numFmtId="0" fontId="0" fillId="0" borderId="1" xfId="0" applyBorder="1" applyAlignment="1">
      <alignment horizontal="center"/>
    </xf>
    <xf numFmtId="0" fontId="2" fillId="0" borderId="9" xfId="0" applyFont="1" applyBorder="1" applyAlignment="1">
      <alignment horizontal="center"/>
    </xf>
    <xf numFmtId="0" fontId="6" fillId="0" borderId="0" xfId="0" applyFont="1"/>
    <xf numFmtId="0" fontId="2" fillId="0" borderId="0" xfId="0" applyFont="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0" fillId="0" borderId="0" xfId="0" applyAlignment="1">
      <alignment horizontal="center"/>
    </xf>
    <xf numFmtId="0" fontId="2" fillId="0" borderId="1" xfId="0" applyFont="1" applyBorder="1" applyAlignment="1">
      <alignment horizontal="center"/>
    </xf>
    <xf numFmtId="0" fontId="2" fillId="0" borderId="7" xfId="0" applyFont="1" applyBorder="1" applyAlignment="1">
      <alignment horizontal="center"/>
    </xf>
    <xf numFmtId="0" fontId="2" fillId="0" borderId="8" xfId="0" applyFont="1" applyBorder="1" applyAlignment="1">
      <alignment horizontal="center"/>
    </xf>
  </cellXfs>
  <cellStyles count="5">
    <cellStyle name="Normal" xfId="0" builtinId="0"/>
    <cellStyle name="Normal 2" xfId="2" xr:uid="{103ED496-A5E0-4686-97D0-F84F839C5ECF}"/>
    <cellStyle name="Normal 2 2" xfId="3" xr:uid="{95DC8B1A-9A9F-A84E-9251-D1F6632BC65F}"/>
    <cellStyle name="Porcentaje" xfId="1" builtinId="5"/>
    <cellStyle name="Porcentaje 2" xfId="4" xr:uid="{BEDF4E7A-58FF-B843-8F3E-F23198C3312C}"/>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9E6D9-6187-BB40-85F4-9EB7D497C9CC}">
  <dimension ref="B2:AR128"/>
  <sheetViews>
    <sheetView workbookViewId="0">
      <selection activeCell="M8" sqref="M8"/>
    </sheetView>
  </sheetViews>
  <sheetFormatPr baseColWidth="10" defaultRowHeight="15" x14ac:dyDescent="0.2"/>
  <cols>
    <col min="2" max="2" width="34.83203125" bestFit="1" customWidth="1"/>
    <col min="3" max="3" width="8.6640625" bestFit="1" customWidth="1"/>
    <col min="4" max="4" width="11.83203125" bestFit="1" customWidth="1"/>
    <col min="5" max="5" width="10.33203125" bestFit="1" customWidth="1"/>
    <col min="6" max="6" width="12.5" bestFit="1" customWidth="1"/>
    <col min="7" max="7" width="14.5" bestFit="1" customWidth="1"/>
    <col min="8" max="8" width="12.33203125" customWidth="1"/>
    <col min="9" max="9" width="10.33203125" bestFit="1" customWidth="1"/>
    <col min="10" max="10" width="4.6640625" bestFit="1" customWidth="1"/>
    <col min="11" max="11" width="10.1640625" customWidth="1"/>
    <col min="12" max="12" width="8.83203125" customWidth="1"/>
    <col min="13" max="13" width="10.33203125" bestFit="1" customWidth="1"/>
    <col min="14" max="14" width="4.6640625" bestFit="1" customWidth="1"/>
    <col min="15" max="15" width="5.1640625" bestFit="1" customWidth="1"/>
    <col min="16" max="16" width="8.33203125" customWidth="1"/>
    <col min="17" max="17" width="9" bestFit="1" customWidth="1"/>
    <col min="18" max="18" width="4.6640625" bestFit="1" customWidth="1"/>
    <col min="19" max="19" width="10.6640625" bestFit="1" customWidth="1"/>
    <col min="21" max="21" width="7.33203125" bestFit="1" customWidth="1"/>
    <col min="22" max="22" width="4.6640625" bestFit="1" customWidth="1"/>
    <col min="23" max="23" width="5.1640625" bestFit="1" customWidth="1"/>
    <col min="25" max="25" width="7.33203125" bestFit="1" customWidth="1"/>
    <col min="26" max="26" width="4.6640625" bestFit="1" customWidth="1"/>
    <col min="27" max="27" width="4.1640625" bestFit="1" customWidth="1"/>
    <col min="28" max="28" width="4.1640625" customWidth="1"/>
    <col min="29" max="29" width="3.6640625" customWidth="1"/>
    <col min="30" max="30" width="4.6640625" bestFit="1" customWidth="1"/>
    <col min="31" max="31" width="4.1640625" bestFit="1" customWidth="1"/>
    <col min="32" max="32" width="3.33203125" customWidth="1"/>
    <col min="33" max="33" width="4.6640625" customWidth="1"/>
    <col min="34" max="34" width="4.6640625" bestFit="1" customWidth="1"/>
    <col min="35" max="36" width="3.5" customWidth="1"/>
    <col min="37" max="37" width="2.6640625" customWidth="1"/>
    <col min="38" max="38" width="4.83203125" customWidth="1"/>
    <col min="39" max="39" width="4.33203125" customWidth="1"/>
    <col min="40" max="40" width="5.83203125" customWidth="1"/>
    <col min="41" max="41" width="3.6640625" customWidth="1"/>
    <col min="42" max="42" width="4.33203125" customWidth="1"/>
  </cols>
  <sheetData>
    <row r="2" spans="2:44" ht="16" x14ac:dyDescent="0.2">
      <c r="B2" s="11" t="s">
        <v>34</v>
      </c>
      <c r="C2" s="11" t="s">
        <v>312</v>
      </c>
      <c r="D2" s="11" t="s">
        <v>0</v>
      </c>
      <c r="E2" s="11" t="s">
        <v>313</v>
      </c>
      <c r="F2" s="11" t="s">
        <v>4</v>
      </c>
      <c r="G2" s="38"/>
    </row>
    <row r="3" spans="2:44" ht="16" x14ac:dyDescent="0.2">
      <c r="B3" s="10" t="str">
        <f>C10</f>
        <v>Baseline</v>
      </c>
      <c r="C3" s="5">
        <f>AVERAGEIF(K12:K128, "&lt;&gt;-", C12:C128)</f>
        <v>153.90769230769234</v>
      </c>
      <c r="D3" s="4">
        <f>AVERAGEIF(L12:L128, "&lt;&gt;-", D12:D128)</f>
        <v>6.631469231041577</v>
      </c>
      <c r="E3" s="8">
        <f>AVERAGE(E12:E37)</f>
        <v>3.4001275199749071E-3</v>
      </c>
      <c r="F3" s="7">
        <f>SUMIF(K12:K128, "&lt;&gt;-", F12:F128)</f>
        <v>14</v>
      </c>
    </row>
    <row r="4" spans="2:44" ht="16" x14ac:dyDescent="0.2">
      <c r="B4" s="10" t="str">
        <f>G10</f>
        <v>Gc</v>
      </c>
      <c r="C4" s="4">
        <f>AVERAGEIF(K12:K128, "&lt;&gt;-", G12:G128)</f>
        <v>154.68461538461537</v>
      </c>
      <c r="D4" s="4">
        <f>AVERAGEIF(L12:L128, "&lt;&gt;-", H12:H128)</f>
        <v>6.3056461335088203</v>
      </c>
      <c r="E4" s="6">
        <f>AVERAGE( I12:I37)</f>
        <v>7.8413480641989601E-3</v>
      </c>
      <c r="F4" s="7">
        <f>SUMIF(K12:K128, "&lt;&gt;-", J12:J128)</f>
        <v>12</v>
      </c>
    </row>
    <row r="5" spans="2:44" ht="16" x14ac:dyDescent="0.2">
      <c r="B5" s="10" t="str">
        <f>K10</f>
        <v>LS1</v>
      </c>
      <c r="C5" s="4">
        <f>AVERAGEIF(K12:K128, "&lt;&gt;-", K12:K128)</f>
        <v>174.37692307692308</v>
      </c>
      <c r="D5" s="4">
        <f>AVERAGEIF(L12:L128, "&lt;&gt;-", L12:L128)</f>
        <v>31.078461634403524</v>
      </c>
      <c r="E5" s="6">
        <f>AVERAGEIF(K12:K128, "&lt;&gt;-", M12:M128)</f>
        <v>9.2381094394573482E-2</v>
      </c>
      <c r="F5" s="7">
        <f>SUMIF(K12:K128, "&lt;&gt;-", N12:N128)</f>
        <v>5</v>
      </c>
    </row>
    <row r="6" spans="2:44" ht="16" x14ac:dyDescent="0.2">
      <c r="B6" s="10" t="str">
        <f>O10</f>
        <v>P1</v>
      </c>
      <c r="C6" s="4">
        <f>AVERAGEIF(K12:K128, "&lt;&gt;-", O12:O128)</f>
        <v>156.05384615384617</v>
      </c>
      <c r="D6" s="4">
        <f>AVERAGEIF(K12:K128, "&lt;&gt;-", P12:P128)</f>
        <v>6.3893538066042721</v>
      </c>
      <c r="E6" s="6">
        <f>AVERAGEIF(K12:K128, "&lt;&gt;-", Q12:Q128)</f>
        <v>7.2459395022008936E-3</v>
      </c>
      <c r="F6" s="7">
        <f>SUMIF(K12:K128, "&lt;&gt;-", R12:R128)</f>
        <v>12</v>
      </c>
    </row>
    <row r="7" spans="2:44" ht="16" x14ac:dyDescent="0.2">
      <c r="B7" s="10" t="str">
        <f>S10</f>
        <v>β = 0.08</v>
      </c>
      <c r="C7" s="4">
        <f>AVERAGEIF(K12:K128, "&lt;&gt;-", S12:S128)</f>
        <v>154.32307692307688</v>
      </c>
      <c r="D7" s="5">
        <f>AVERAGEIF(K12:K128, "&lt;&gt;-", T12:T128)</f>
        <v>4.7453999956210078</v>
      </c>
      <c r="E7" s="6">
        <f>AVERAGEIF(K12:K128, "&lt;&gt;-", U12:U128)</f>
        <v>7.6691189343566328E-3</v>
      </c>
      <c r="F7" s="7">
        <f>SUMIF(K12:K128, "&lt;&gt;-", V12:V128)</f>
        <v>12</v>
      </c>
    </row>
    <row r="8" spans="2:44" ht="16" x14ac:dyDescent="0.2">
      <c r="B8" s="10" t="str">
        <f>W10</f>
        <v>β = 0.18</v>
      </c>
      <c r="C8" s="4">
        <f>AVERAGEIF(K12:K128, "&lt;&gt;-", W12:W128)</f>
        <v>155.66153846153844</v>
      </c>
      <c r="D8" s="4">
        <f>AVERAGEIF(K12:K128, "&lt;&gt;-", X12:X128)</f>
        <v>7.993815363076731</v>
      </c>
      <c r="E8" s="6">
        <f>AVERAGEIF(K12:K128, "&lt;&gt;-", Y12:Y128)</f>
        <v>5.7860838489573567E-3</v>
      </c>
      <c r="F8" s="14">
        <f>SUMIF(K12:K128, "&lt;&gt;-", Z12:Z128)</f>
        <v>17</v>
      </c>
    </row>
    <row r="10" spans="2:44" ht="18" x14ac:dyDescent="0.25">
      <c r="C10" s="41" t="s">
        <v>304</v>
      </c>
      <c r="D10" s="41"/>
      <c r="E10" s="41"/>
      <c r="F10" s="41"/>
      <c r="G10" s="42" t="s">
        <v>321</v>
      </c>
      <c r="H10" s="43"/>
      <c r="I10" s="43"/>
      <c r="J10" s="44"/>
      <c r="K10" s="42" t="s">
        <v>305</v>
      </c>
      <c r="L10" s="43"/>
      <c r="M10" s="43"/>
      <c r="N10" s="44"/>
      <c r="O10" s="42" t="s">
        <v>306</v>
      </c>
      <c r="P10" s="43"/>
      <c r="Q10" s="43"/>
      <c r="R10" s="44"/>
      <c r="S10" s="42" t="s">
        <v>308</v>
      </c>
      <c r="T10" s="43"/>
      <c r="U10" s="43"/>
      <c r="V10" s="44"/>
      <c r="W10" s="41" t="s">
        <v>307</v>
      </c>
      <c r="X10" s="41"/>
      <c r="Y10" s="41"/>
      <c r="Z10" s="45"/>
      <c r="AA10" s="40"/>
      <c r="AB10" s="40"/>
      <c r="AC10" s="40"/>
      <c r="AD10" s="40"/>
      <c r="AE10" s="40"/>
      <c r="AF10" s="40"/>
      <c r="AG10" s="40"/>
      <c r="AH10" s="40"/>
      <c r="AI10" s="40"/>
      <c r="AJ10" s="40"/>
      <c r="AK10" s="40"/>
      <c r="AL10" s="40"/>
      <c r="AM10" s="40"/>
      <c r="AN10" s="40"/>
      <c r="AO10" s="40"/>
      <c r="AP10" s="40"/>
    </row>
    <row r="11" spans="2:44" ht="16" x14ac:dyDescent="0.2">
      <c r="B11" s="1" t="s">
        <v>5</v>
      </c>
      <c r="C11" s="1" t="s">
        <v>1</v>
      </c>
      <c r="D11" s="1" t="s">
        <v>0</v>
      </c>
      <c r="E11" s="1" t="s">
        <v>2</v>
      </c>
      <c r="F11" s="1" t="s">
        <v>3</v>
      </c>
      <c r="G11" s="1" t="s">
        <v>1</v>
      </c>
      <c r="H11" s="1" t="s">
        <v>0</v>
      </c>
      <c r="I11" s="1" t="s">
        <v>2</v>
      </c>
      <c r="J11" s="1" t="s">
        <v>3</v>
      </c>
      <c r="K11" s="1" t="s">
        <v>1</v>
      </c>
      <c r="L11" s="1" t="s">
        <v>0</v>
      </c>
      <c r="M11" s="1" t="s">
        <v>2</v>
      </c>
      <c r="N11" s="1" t="s">
        <v>3</v>
      </c>
      <c r="O11" s="1" t="s">
        <v>1</v>
      </c>
      <c r="P11" s="1" t="s">
        <v>0</v>
      </c>
      <c r="Q11" s="1" t="s">
        <v>2</v>
      </c>
      <c r="R11" s="1" t="s">
        <v>3</v>
      </c>
      <c r="S11" s="1" t="s">
        <v>1</v>
      </c>
      <c r="T11" s="1" t="s">
        <v>0</v>
      </c>
      <c r="U11" s="1" t="s">
        <v>2</v>
      </c>
      <c r="V11" s="1" t="s">
        <v>3</v>
      </c>
      <c r="W11" s="1" t="s">
        <v>1</v>
      </c>
      <c r="X11" s="1" t="s">
        <v>0</v>
      </c>
      <c r="Y11" s="1" t="s">
        <v>2</v>
      </c>
      <c r="Z11" s="1" t="s">
        <v>3</v>
      </c>
      <c r="AA11" s="2"/>
      <c r="AB11" s="2"/>
      <c r="AC11" s="2"/>
      <c r="AD11" s="2"/>
      <c r="AE11" s="2"/>
      <c r="AF11" s="2"/>
      <c r="AG11" s="2"/>
      <c r="AH11" s="2"/>
      <c r="AI11" s="2"/>
      <c r="AJ11" s="2"/>
      <c r="AK11" s="2"/>
      <c r="AL11" s="2"/>
      <c r="AM11" s="2"/>
      <c r="AN11" s="2"/>
      <c r="AO11" s="2"/>
      <c r="AP11" s="2"/>
      <c r="AR11" s="2" t="s">
        <v>4</v>
      </c>
    </row>
    <row r="12" spans="2:44" ht="16" x14ac:dyDescent="0.2">
      <c r="B12" t="s">
        <v>6</v>
      </c>
      <c r="C12" s="18">
        <f>AVERAGE('execs Table 2'!C116,'execs Table 2'!E116,'execs Table 2'!G116,'execs Table 2'!I116,'execs Table 2'!K116)</f>
        <v>534.20000000000005</v>
      </c>
      <c r="D12" s="18">
        <f>AVERAGE('execs Table 2'!D116,'execs Table 2'!F116,'execs Table 2'!H116,'execs Table 2'!J116,'execs Table 2'!L116)</f>
        <v>1.7829999923706055</v>
      </c>
      <c r="E12" s="3">
        <f>(C12-$AR12)/$AR12</f>
        <v>1.4998125234346987E-3</v>
      </c>
      <c r="F12" s="1">
        <f>IF(C12=$AR12,1,0)</f>
        <v>0</v>
      </c>
      <c r="G12" s="18">
        <f>AVERAGE('execs Table 2'!C144,'execs Table 2'!E144,'execs Table 2'!G144,'execs Table 2'!I144,'execs Table 2'!K144)</f>
        <v>533.4</v>
      </c>
      <c r="H12" s="18">
        <f>AVERAGE('execs Table 2'!D144,'execs Table 2'!F144,'execs Table 2'!H144,'execs Table 2'!J144,'execs Table 2'!L144)</f>
        <v>2.4177999734878539</v>
      </c>
      <c r="I12" s="3">
        <f t="shared" ref="I12:I37" si="0">(G12-$AR12)/$AR12</f>
        <v>0</v>
      </c>
      <c r="J12" s="1">
        <f t="shared" ref="J12:J37" si="1">IF(G12=$AR12,1,0)</f>
        <v>1</v>
      </c>
      <c r="K12" s="18">
        <f>AVERAGE('execs Table 2'!C32,'execs Table 2'!E32,'execs Table 2'!G32,'execs Table 2'!I32,'execs Table 2'!K32)</f>
        <v>539</v>
      </c>
      <c r="L12" s="18">
        <f>AVERAGE('execs Table 2'!D32,'execs Table 2'!F32,'execs Table 2'!H32,'execs Table 2'!J32,'execs Table 2'!L32)</f>
        <v>11.890399932861328</v>
      </c>
      <c r="M12" s="3">
        <f>(K12-$AR12)/$AR12</f>
        <v>1.0498687664042038E-2</v>
      </c>
      <c r="N12" s="1">
        <f>IF(K12=$AR12,1,0)</f>
        <v>0</v>
      </c>
      <c r="O12" s="18">
        <f>AVERAGE('execs Table 2'!C4,'execs Table 2'!E4,'execs Table 2'!G4,'execs Table 2'!I4,'execs Table 2'!K4)</f>
        <v>534.79999999999995</v>
      </c>
      <c r="P12" s="18">
        <f>AVERAGE('execs Table 2'!D4,'execs Table 2'!F4,'execs Table 2'!H4,'execs Table 2'!J4,'execs Table 2'!L4)</f>
        <v>1.542400026321411</v>
      </c>
      <c r="Q12" s="3">
        <f>(O12-$AR12)/$AR12</f>
        <v>2.6246719160104562E-3</v>
      </c>
      <c r="R12" s="1">
        <f>IF(O12=$AR12,1,0)</f>
        <v>0</v>
      </c>
      <c r="S12" s="18">
        <f>AVERAGE('execs Table 2'!C60,'execs Table 2'!E60,'execs Table 2'!G60,'execs Table 2'!I60,'execs Table 2'!K60)</f>
        <v>533.4</v>
      </c>
      <c r="T12" s="18">
        <f>AVERAGE('execs Table 2'!D60,'execs Table 2'!F60,'execs Table 2'!H60,'execs Table 2'!J60,'execs Table 2'!L60)</f>
        <v>1.0541999936103821</v>
      </c>
      <c r="U12" s="3">
        <f>(S12-$AR12)/$AR12</f>
        <v>0</v>
      </c>
      <c r="V12" s="1">
        <f>IF(S12=$AR12,1,0)</f>
        <v>1</v>
      </c>
      <c r="W12" s="18">
        <f>AVERAGE('execs Table 2'!C88,'execs Table 2'!E88,'execs Table 2'!G88,'execs Table 2'!I88,'execs Table 2'!K88)</f>
        <v>534</v>
      </c>
      <c r="X12" s="18">
        <f>AVERAGE('execs Table 2'!D88,'execs Table 2'!F88,'execs Table 2'!H88,'execs Table 2'!J88,'execs Table 2'!L88)</f>
        <v>2.3181999921798706</v>
      </c>
      <c r="Y12" s="3">
        <f>(W12-$AR12)/$AR12</f>
        <v>1.1248593925759706E-3</v>
      </c>
      <c r="Z12" s="1">
        <f>IF(W12=$AR12,1,0)</f>
        <v>0</v>
      </c>
      <c r="AG12" s="9"/>
      <c r="AH12" s="2"/>
      <c r="AK12" s="9"/>
      <c r="AL12" s="2"/>
      <c r="AO12" s="9"/>
      <c r="AP12" s="2"/>
      <c r="AR12" s="2">
        <f>MIN(C12,G12,K12,O12,S12,W12,AA12,AE12,AI12,AM12)</f>
        <v>533.4</v>
      </c>
    </row>
    <row r="13" spans="2:44" ht="16" x14ac:dyDescent="0.2">
      <c r="B13" t="s">
        <v>7</v>
      </c>
      <c r="C13" s="18">
        <f>AVERAGE('execs Table 2'!C117,'execs Table 2'!E117,'execs Table 2'!G117,'execs Table 2'!I117,'execs Table 2'!K117)</f>
        <v>160.19999999999999</v>
      </c>
      <c r="D13" s="18">
        <f>AVERAGE('execs Table 2'!D117,'execs Table 2'!F117,'execs Table 2'!H117,'execs Table 2'!J117,'execs Table 2'!L117)</f>
        <v>0.30419999957084654</v>
      </c>
      <c r="E13" s="3">
        <f t="shared" ref="E13:E37" si="2">(C13-$AR13)/$AR13</f>
        <v>2.503128911138781E-3</v>
      </c>
      <c r="F13" s="1">
        <f t="shared" ref="F13:F37" si="3">IF(C13=$AR13,1,0)</f>
        <v>0</v>
      </c>
      <c r="G13" s="18">
        <f>AVERAGE('execs Table 2'!C145,'execs Table 2'!E145,'execs Table 2'!G145,'execs Table 2'!I145,'execs Table 2'!K145)</f>
        <v>161.19999999999999</v>
      </c>
      <c r="H13" s="18">
        <f>AVERAGE('execs Table 2'!D145,'execs Table 2'!F145,'execs Table 2'!H145,'execs Table 2'!J145,'execs Table 2'!L145)</f>
        <v>0.25360000133514404</v>
      </c>
      <c r="I13" s="3">
        <f t="shared" si="0"/>
        <v>8.7609511889860901E-3</v>
      </c>
      <c r="J13" s="1">
        <f t="shared" si="1"/>
        <v>0</v>
      </c>
      <c r="K13" s="18">
        <f>AVERAGE('execs Table 2'!C33,'execs Table 2'!E33,'execs Table 2'!G33,'execs Table 2'!I33,'execs Table 2'!K33)</f>
        <v>181</v>
      </c>
      <c r="L13" s="18">
        <f>AVERAGE('execs Table 2'!D33,'execs Table 2'!F33,'execs Table 2'!H33,'execs Table 2'!J33,'execs Table 2'!L33)</f>
        <v>1.2311999917030334</v>
      </c>
      <c r="M13" s="3">
        <f>(K13-$AR13)/$AR13</f>
        <v>0.13266583229036288</v>
      </c>
      <c r="N13" s="1">
        <f t="shared" ref="N13:N37" si="4">IF(K13=$AR13,1,0)</f>
        <v>0</v>
      </c>
      <c r="O13" s="18">
        <f>AVERAGE('execs Table 2'!C5,'execs Table 2'!E5,'execs Table 2'!G5,'execs Table 2'!I5,'execs Table 2'!K5)</f>
        <v>160.4</v>
      </c>
      <c r="P13" s="18">
        <f>AVERAGE('execs Table 2'!D5,'execs Table 2'!F5,'execs Table 2'!H5,'execs Table 2'!J5,'execs Table 2'!L5)</f>
        <v>0.28899999856948855</v>
      </c>
      <c r="Q13" s="3">
        <f t="shared" ref="Q13:Q37" si="5">(O13-$AR13)/$AR13</f>
        <v>3.7546933667083498E-3</v>
      </c>
      <c r="R13" s="1">
        <f t="shared" ref="R13:R37" si="6">IF(O13=$AR13,1,0)</f>
        <v>0</v>
      </c>
      <c r="S13" s="18">
        <f>AVERAGE('execs Table 2'!C61,'execs Table 2'!E61,'execs Table 2'!G61,'execs Table 2'!I61,'execs Table 2'!K61)</f>
        <v>160.4</v>
      </c>
      <c r="T13" s="18">
        <f>AVERAGE('execs Table 2'!D61,'execs Table 2'!F61,'execs Table 2'!H61,'execs Table 2'!J61,'execs Table 2'!L61)</f>
        <v>0.25180000066757202</v>
      </c>
      <c r="U13" s="3">
        <f t="shared" ref="U13:U37" si="7">(S13-$AR13)/$AR13</f>
        <v>3.7546933667083498E-3</v>
      </c>
      <c r="V13" s="1">
        <f t="shared" ref="V13:V37" si="8">IF(S13=$AR13,1,0)</f>
        <v>0</v>
      </c>
      <c r="W13" s="18">
        <f>AVERAGE('execs Table 2'!C89,'execs Table 2'!E89,'execs Table 2'!G89,'execs Table 2'!I89,'execs Table 2'!K89)</f>
        <v>159.80000000000001</v>
      </c>
      <c r="X13" s="18">
        <f>AVERAGE('execs Table 2'!D89,'execs Table 2'!F89,'execs Table 2'!H89,'execs Table 2'!J89,'execs Table 2'!L89)</f>
        <v>0.36800000071525574</v>
      </c>
      <c r="Y13" s="3">
        <f t="shared" ref="Y13:Y37" si="9">(W13-$AR13)/$AR13</f>
        <v>0</v>
      </c>
      <c r="Z13" s="1">
        <f t="shared" ref="Z13:Z37" si="10">IF(W13=$AR13,1,0)</f>
        <v>1</v>
      </c>
      <c r="AB13" s="28"/>
      <c r="AC13" s="28"/>
      <c r="AD13" s="28"/>
      <c r="AG13" s="9"/>
      <c r="AH13" s="2"/>
      <c r="AK13" s="9"/>
      <c r="AL13" s="2"/>
      <c r="AO13" s="9"/>
      <c r="AP13" s="2"/>
      <c r="AR13" s="2">
        <f t="shared" ref="AR13:AR37" si="11">MIN(C13,G13,K13,O13,S13,W13,AA13,AE13,AI13,AM13)</f>
        <v>159.80000000000001</v>
      </c>
    </row>
    <row r="14" spans="2:44" ht="16" x14ac:dyDescent="0.2">
      <c r="B14" t="s">
        <v>8</v>
      </c>
      <c r="C14" s="18">
        <f>AVERAGE('execs Table 2'!C118,'execs Table 2'!E118,'execs Table 2'!G118,'execs Table 2'!I118,'execs Table 2'!K118)</f>
        <v>180.2</v>
      </c>
      <c r="D14" s="18">
        <f>AVERAGE('execs Table 2'!D118,'execs Table 2'!F118,'execs Table 2'!H118,'execs Table 2'!J118,'execs Table 2'!L118)</f>
        <v>0.57159999608993528</v>
      </c>
      <c r="E14" s="3">
        <f t="shared" si="2"/>
        <v>0</v>
      </c>
      <c r="F14" s="1">
        <f t="shared" si="3"/>
        <v>1</v>
      </c>
      <c r="G14" s="18">
        <f>AVERAGE('execs Table 2'!C146,'execs Table 2'!E146,'execs Table 2'!G146,'execs Table 2'!I146,'execs Table 2'!K146)</f>
        <v>180.6</v>
      </c>
      <c r="H14" s="18">
        <f>AVERAGE('execs Table 2'!D146,'execs Table 2'!F146,'execs Table 2'!H146,'execs Table 2'!J146,'execs Table 2'!L146)</f>
        <v>0.6534000039100647</v>
      </c>
      <c r="I14" s="3">
        <f t="shared" si="0"/>
        <v>2.2197558268590772E-3</v>
      </c>
      <c r="J14" s="1">
        <f t="shared" si="1"/>
        <v>0</v>
      </c>
      <c r="K14" s="18">
        <f>AVERAGE('execs Table 2'!C34,'execs Table 2'!E34,'execs Table 2'!G34,'execs Table 2'!I34,'execs Table 2'!K34)</f>
        <v>185</v>
      </c>
      <c r="L14" s="18">
        <f>AVERAGE('execs Table 2'!D34,'execs Table 2'!F34,'execs Table 2'!H34,'execs Table 2'!J34,'execs Table 2'!L34)</f>
        <v>1.8182000160217284</v>
      </c>
      <c r="M14" s="3">
        <f t="shared" ref="M14:M37" si="12">(K14-$AR14)/$AR14</f>
        <v>2.6637069922308611E-2</v>
      </c>
      <c r="N14" s="1">
        <f t="shared" si="4"/>
        <v>0</v>
      </c>
      <c r="O14" s="18">
        <f>AVERAGE('execs Table 2'!C6,'execs Table 2'!E6,'execs Table 2'!G6,'execs Table 2'!I6,'execs Table 2'!K6)</f>
        <v>180.8</v>
      </c>
      <c r="P14" s="18">
        <f>AVERAGE('execs Table 2'!D6,'execs Table 2'!F6,'execs Table 2'!H6,'execs Table 2'!J6,'execs Table 2'!L6)</f>
        <v>0.4899999976158142</v>
      </c>
      <c r="Q14" s="3">
        <f t="shared" si="5"/>
        <v>3.3296337402886947E-3</v>
      </c>
      <c r="R14" s="1">
        <f t="shared" si="6"/>
        <v>0</v>
      </c>
      <c r="S14" s="18">
        <f>AVERAGE('execs Table 2'!C62,'execs Table 2'!E62,'execs Table 2'!G62,'execs Table 2'!I62,'execs Table 2'!K62)</f>
        <v>180.6</v>
      </c>
      <c r="T14" s="18">
        <f>AVERAGE('execs Table 2'!D62,'execs Table 2'!F62,'execs Table 2'!H62,'execs Table 2'!J62,'execs Table 2'!L62)</f>
        <v>0.39760000109672544</v>
      </c>
      <c r="U14" s="3">
        <f t="shared" si="7"/>
        <v>2.2197558268590772E-3</v>
      </c>
      <c r="V14" s="1">
        <f t="shared" si="8"/>
        <v>0</v>
      </c>
      <c r="W14" s="18">
        <f>AVERAGE('execs Table 2'!C90,'execs Table 2'!E90,'execs Table 2'!G90,'execs Table 2'!I90,'execs Table 2'!K90)</f>
        <v>180.6</v>
      </c>
      <c r="X14" s="18">
        <f>AVERAGE('execs Table 2'!D90,'execs Table 2'!F90,'execs Table 2'!H90,'execs Table 2'!J90,'execs Table 2'!L90)</f>
        <v>0.83799999952316284</v>
      </c>
      <c r="Y14" s="3">
        <f t="shared" si="9"/>
        <v>2.2197558268590772E-3</v>
      </c>
      <c r="Z14" s="1">
        <f t="shared" si="10"/>
        <v>0</v>
      </c>
      <c r="AG14" s="9"/>
      <c r="AH14" s="2"/>
      <c r="AK14" s="9"/>
      <c r="AL14" s="2"/>
      <c r="AO14" s="9"/>
      <c r="AP14" s="2"/>
      <c r="AR14" s="2">
        <f t="shared" si="11"/>
        <v>180.2</v>
      </c>
    </row>
    <row r="15" spans="2:44" ht="16" x14ac:dyDescent="0.2">
      <c r="B15" t="s">
        <v>9</v>
      </c>
      <c r="C15" s="18">
        <f>AVERAGE('execs Table 2'!C119,'execs Table 2'!E119,'execs Table 2'!G119,'execs Table 2'!I119,'execs Table 2'!K119)</f>
        <v>18</v>
      </c>
      <c r="D15" s="18">
        <f>AVERAGE('execs Table 2'!D119,'execs Table 2'!F119,'execs Table 2'!H119,'execs Table 2'!J119,'execs Table 2'!L119)</f>
        <v>2.1600000187754632E-2</v>
      </c>
      <c r="E15" s="3">
        <f t="shared" si="2"/>
        <v>0</v>
      </c>
      <c r="F15" s="1">
        <f t="shared" si="3"/>
        <v>1</v>
      </c>
      <c r="G15" s="18">
        <f>AVERAGE('execs Table 2'!C147,'execs Table 2'!E147,'execs Table 2'!G147,'execs Table 2'!I147,'execs Table 2'!K147)</f>
        <v>18.600000000000001</v>
      </c>
      <c r="H15" s="18">
        <f>AVERAGE('execs Table 2'!D147,'execs Table 2'!F147,'execs Table 2'!H147,'execs Table 2'!J147,'execs Table 2'!L147)</f>
        <v>1.8800000473856927E-2</v>
      </c>
      <c r="I15" s="3">
        <f t="shared" si="0"/>
        <v>3.3333333333333409E-2</v>
      </c>
      <c r="J15" s="1">
        <f t="shared" si="1"/>
        <v>0</v>
      </c>
      <c r="K15" s="18">
        <f>AVERAGE('execs Table 2'!C35,'execs Table 2'!E35,'execs Table 2'!G35,'execs Table 2'!I35,'execs Table 2'!K35)</f>
        <v>22</v>
      </c>
      <c r="L15" s="18">
        <f>AVERAGE('execs Table 2'!D35,'execs Table 2'!F35,'execs Table 2'!H35,'execs Table 2'!J35,'execs Table 2'!L35)</f>
        <v>3.6400000378489492E-2</v>
      </c>
      <c r="M15" s="3">
        <f t="shared" si="12"/>
        <v>0.22222222222222221</v>
      </c>
      <c r="N15" s="1">
        <f t="shared" si="4"/>
        <v>0</v>
      </c>
      <c r="O15" s="18">
        <f>AVERAGE('execs Table 2'!C7,'execs Table 2'!E7,'execs Table 2'!G7,'execs Table 2'!I7,'execs Table 2'!K7)</f>
        <v>18</v>
      </c>
      <c r="P15" s="18">
        <f>AVERAGE('execs Table 2'!D7,'execs Table 2'!F7,'execs Table 2'!H7,'execs Table 2'!J7,'execs Table 2'!L7)</f>
        <v>1.860000044107437E-2</v>
      </c>
      <c r="Q15" s="3">
        <f t="shared" si="5"/>
        <v>0</v>
      </c>
      <c r="R15" s="1">
        <f t="shared" si="6"/>
        <v>1</v>
      </c>
      <c r="S15" s="18">
        <f>AVERAGE('execs Table 2'!C63,'execs Table 2'!E63,'execs Table 2'!G63,'execs Table 2'!I63,'execs Table 2'!K63)</f>
        <v>18</v>
      </c>
      <c r="T15" s="18">
        <f>AVERAGE('execs Table 2'!D63,'execs Table 2'!F63,'execs Table 2'!H63,'execs Table 2'!J63,'execs Table 2'!L63)</f>
        <v>1.5799999982118607E-2</v>
      </c>
      <c r="U15" s="3">
        <f t="shared" si="7"/>
        <v>0</v>
      </c>
      <c r="V15" s="1">
        <f t="shared" si="8"/>
        <v>1</v>
      </c>
      <c r="W15" s="18">
        <f>AVERAGE('execs Table 2'!C91,'execs Table 2'!E91,'execs Table 2'!G91,'execs Table 2'!I91,'execs Table 2'!K91)</f>
        <v>18</v>
      </c>
      <c r="X15" s="18">
        <f>AVERAGE('execs Table 2'!D91,'execs Table 2'!F91,'execs Table 2'!H91,'execs Table 2'!J91,'execs Table 2'!L91)</f>
        <v>2.0800000056624413E-2</v>
      </c>
      <c r="Y15" s="3">
        <f t="shared" si="9"/>
        <v>0</v>
      </c>
      <c r="Z15" s="1">
        <f t="shared" si="10"/>
        <v>1</v>
      </c>
      <c r="AG15" s="9"/>
      <c r="AH15" s="2"/>
      <c r="AK15" s="9"/>
      <c r="AL15" s="2"/>
      <c r="AO15" s="9"/>
      <c r="AP15" s="2"/>
      <c r="AR15" s="2">
        <f t="shared" si="11"/>
        <v>18</v>
      </c>
    </row>
    <row r="16" spans="2:44" ht="16" x14ac:dyDescent="0.2">
      <c r="B16" t="s">
        <v>10</v>
      </c>
      <c r="C16" s="18">
        <f>AVERAGE('execs Table 2'!C120,'execs Table 2'!E120,'execs Table 2'!G120,'execs Table 2'!I120,'execs Table 2'!K120)</f>
        <v>333</v>
      </c>
      <c r="D16" s="18">
        <f>AVERAGE('execs Table 2'!D120,'execs Table 2'!F120,'execs Table 2'!H120,'execs Table 2'!J120,'execs Table 2'!L120)</f>
        <v>19.276600265502928</v>
      </c>
      <c r="E16" s="3">
        <f t="shared" si="2"/>
        <v>0</v>
      </c>
      <c r="F16" s="1">
        <f t="shared" si="3"/>
        <v>1</v>
      </c>
      <c r="G16" s="18">
        <f>AVERAGE('execs Table 2'!C148,'execs Table 2'!E148,'execs Table 2'!G148,'execs Table 2'!I148,'execs Table 2'!K148)</f>
        <v>335.4</v>
      </c>
      <c r="H16" s="18">
        <f>AVERAGE('execs Table 2'!D148,'execs Table 2'!F148,'execs Table 2'!H148,'execs Table 2'!J148,'execs Table 2'!L148)</f>
        <v>17.628399848937988</v>
      </c>
      <c r="I16" s="3">
        <f t="shared" si="0"/>
        <v>7.2072072072071388E-3</v>
      </c>
      <c r="J16" s="1">
        <f t="shared" si="1"/>
        <v>0</v>
      </c>
      <c r="K16" s="18">
        <f>AVERAGE('execs Table 2'!C36,'execs Table 2'!E36,'execs Table 2'!G36,'execs Table 2'!I36,'execs Table 2'!K36)</f>
        <v>347.2</v>
      </c>
      <c r="L16" s="18">
        <f>AVERAGE('execs Table 2'!D36,'execs Table 2'!F36,'execs Table 2'!H36,'execs Table 2'!J36,'execs Table 2'!L36)</f>
        <v>132.93840179443359</v>
      </c>
      <c r="M16" s="3">
        <f t="shared" si="12"/>
        <v>4.2642642642642607E-2</v>
      </c>
      <c r="N16" s="1">
        <f t="shared" si="4"/>
        <v>0</v>
      </c>
      <c r="O16" s="18">
        <f>AVERAGE('execs Table 2'!C8,'execs Table 2'!E8,'execs Table 2'!G8,'execs Table 2'!I8,'execs Table 2'!K8)</f>
        <v>333.8</v>
      </c>
      <c r="P16" s="18">
        <f>AVERAGE('execs Table 2'!D8,'execs Table 2'!F8,'execs Table 2'!H8,'execs Table 2'!J8,'execs Table 2'!L8)</f>
        <v>18.762999725341796</v>
      </c>
      <c r="Q16" s="3">
        <f t="shared" si="5"/>
        <v>2.4024024024024366E-3</v>
      </c>
      <c r="R16" s="1">
        <f t="shared" si="6"/>
        <v>0</v>
      </c>
      <c r="S16" s="18">
        <f>AVERAGE('execs Table 2'!C64,'execs Table 2'!E64,'execs Table 2'!G64,'execs Table 2'!I64,'execs Table 2'!K64)</f>
        <v>333.4</v>
      </c>
      <c r="T16" s="18">
        <f>AVERAGE('execs Table 2'!D64,'execs Table 2'!F64,'execs Table 2'!H64,'execs Table 2'!J64,'execs Table 2'!L64)</f>
        <v>15.439800071716309</v>
      </c>
      <c r="U16" s="3">
        <f t="shared" si="7"/>
        <v>1.2012012012011328E-3</v>
      </c>
      <c r="V16" s="1">
        <f t="shared" si="8"/>
        <v>0</v>
      </c>
      <c r="W16" s="18">
        <f>AVERAGE('execs Table 2'!C92,'execs Table 2'!E92,'execs Table 2'!G92,'execs Table 2'!I92,'execs Table 2'!K92)</f>
        <v>333.4</v>
      </c>
      <c r="X16" s="18">
        <f>AVERAGE('execs Table 2'!D92,'execs Table 2'!F92,'execs Table 2'!H92,'execs Table 2'!J92,'execs Table 2'!L92)</f>
        <v>23.115800094604491</v>
      </c>
      <c r="Y16" s="3">
        <f t="shared" si="9"/>
        <v>1.2012012012011328E-3</v>
      </c>
      <c r="Z16" s="1">
        <f t="shared" si="10"/>
        <v>0</v>
      </c>
      <c r="AG16" s="9"/>
      <c r="AH16" s="2"/>
      <c r="AK16" s="9"/>
      <c r="AL16" s="2"/>
      <c r="AO16" s="9"/>
      <c r="AP16" s="2"/>
      <c r="AR16" s="2">
        <f t="shared" si="11"/>
        <v>333</v>
      </c>
    </row>
    <row r="17" spans="2:44" ht="16" x14ac:dyDescent="0.2">
      <c r="B17" t="s">
        <v>11</v>
      </c>
      <c r="C17" s="18">
        <f>AVERAGE('execs Table 2'!C121,'execs Table 2'!E121,'execs Table 2'!G121,'execs Table 2'!I121,'execs Table 2'!K121)</f>
        <v>57</v>
      </c>
      <c r="D17" s="18">
        <f>AVERAGE('execs Table 2'!D121,'execs Table 2'!F121,'execs Table 2'!H121,'execs Table 2'!J121,'execs Table 2'!L121)</f>
        <v>8.6200000345706934E-2</v>
      </c>
      <c r="E17" s="3">
        <f t="shared" si="2"/>
        <v>0</v>
      </c>
      <c r="F17" s="1">
        <f t="shared" si="3"/>
        <v>1</v>
      </c>
      <c r="G17" s="18">
        <f>AVERAGE('execs Table 2'!C149,'execs Table 2'!E149,'execs Table 2'!G149,'execs Table 2'!I149,'execs Table 2'!K149)</f>
        <v>57</v>
      </c>
      <c r="H17" s="18">
        <f>AVERAGE('execs Table 2'!D149,'execs Table 2'!F149,'execs Table 2'!H149,'execs Table 2'!J149,'execs Table 2'!L149)</f>
        <v>8.8800001144409182E-2</v>
      </c>
      <c r="I17" s="3">
        <f t="shared" si="0"/>
        <v>0</v>
      </c>
      <c r="J17" s="1">
        <f t="shared" si="1"/>
        <v>1</v>
      </c>
      <c r="K17" s="18">
        <f>AVERAGE('execs Table 2'!C37,'execs Table 2'!E37,'execs Table 2'!G37,'execs Table 2'!I37,'execs Table 2'!K37)</f>
        <v>57.4</v>
      </c>
      <c r="L17" s="18">
        <f>AVERAGE('execs Table 2'!D37,'execs Table 2'!F37,'execs Table 2'!H37,'execs Table 2'!J37,'execs Table 2'!L37)</f>
        <v>0.72239999771118169</v>
      </c>
      <c r="M17" s="3">
        <f t="shared" si="12"/>
        <v>7.0175438596490978E-3</v>
      </c>
      <c r="N17" s="1">
        <f t="shared" si="4"/>
        <v>0</v>
      </c>
      <c r="O17" s="18">
        <f>AVERAGE('execs Table 2'!C9,'execs Table 2'!E9,'execs Table 2'!G9,'execs Table 2'!I9,'execs Table 2'!K9)</f>
        <v>57</v>
      </c>
      <c r="P17" s="18">
        <f>AVERAGE('execs Table 2'!D9,'execs Table 2'!F9,'execs Table 2'!H9,'execs Table 2'!J9,'execs Table 2'!L9)</f>
        <v>8.640000075101853E-2</v>
      </c>
      <c r="Q17" s="3">
        <f t="shared" si="5"/>
        <v>0</v>
      </c>
      <c r="R17" s="1">
        <f t="shared" si="6"/>
        <v>1</v>
      </c>
      <c r="S17" s="18">
        <f>AVERAGE('execs Table 2'!C65,'execs Table 2'!E65,'execs Table 2'!G65,'execs Table 2'!I65,'execs Table 2'!K65)</f>
        <v>57</v>
      </c>
      <c r="T17" s="18">
        <f>AVERAGE('execs Table 2'!D65,'execs Table 2'!F65,'execs Table 2'!H65,'execs Table 2'!J65,'execs Table 2'!L65)</f>
        <v>8.35999995470047E-2</v>
      </c>
      <c r="U17" s="3">
        <f t="shared" si="7"/>
        <v>0</v>
      </c>
      <c r="V17" s="1">
        <f t="shared" si="8"/>
        <v>1</v>
      </c>
      <c r="W17" s="18">
        <f>AVERAGE('execs Table 2'!C93,'execs Table 2'!E93,'execs Table 2'!G93,'execs Table 2'!I93,'execs Table 2'!K93)</f>
        <v>57</v>
      </c>
      <c r="X17" s="18">
        <f>AVERAGE('execs Table 2'!D93,'execs Table 2'!F93,'execs Table 2'!H93,'execs Table 2'!J93,'execs Table 2'!L93)</f>
        <v>9.3200001120567325E-2</v>
      </c>
      <c r="Y17" s="3">
        <f t="shared" si="9"/>
        <v>0</v>
      </c>
      <c r="Z17" s="1">
        <f t="shared" si="10"/>
        <v>1</v>
      </c>
      <c r="AG17" s="9"/>
      <c r="AH17" s="2"/>
      <c r="AK17" s="9"/>
      <c r="AL17" s="2"/>
      <c r="AO17" s="9"/>
      <c r="AP17" s="2"/>
      <c r="AR17" s="2">
        <f t="shared" si="11"/>
        <v>57</v>
      </c>
    </row>
    <row r="18" spans="2:44" ht="16" x14ac:dyDescent="0.2">
      <c r="B18" t="s">
        <v>12</v>
      </c>
      <c r="C18" s="18">
        <f>AVERAGE('execs Table 2'!C122,'execs Table 2'!E122,'execs Table 2'!G122,'execs Table 2'!I122,'execs Table 2'!K122)</f>
        <v>26</v>
      </c>
      <c r="D18" s="18">
        <f>AVERAGE('execs Table 2'!D122,'execs Table 2'!F122,'execs Table 2'!H122,'execs Table 2'!J122,'execs Table 2'!L122)</f>
        <v>6.4645999908447269</v>
      </c>
      <c r="E18" s="3">
        <f t="shared" si="2"/>
        <v>0</v>
      </c>
      <c r="F18" s="1">
        <f t="shared" si="3"/>
        <v>1</v>
      </c>
      <c r="G18" s="18">
        <f>AVERAGE('execs Table 2'!C150,'execs Table 2'!E150,'execs Table 2'!G150,'execs Table 2'!I150,'execs Table 2'!K150)</f>
        <v>26</v>
      </c>
      <c r="H18" s="18">
        <f>AVERAGE('execs Table 2'!D150,'execs Table 2'!F150,'execs Table 2'!H150,'execs Table 2'!J150,'execs Table 2'!L150)</f>
        <v>6.4794000625610355</v>
      </c>
      <c r="I18" s="3">
        <f t="shared" si="0"/>
        <v>0</v>
      </c>
      <c r="J18" s="1">
        <f t="shared" si="1"/>
        <v>1</v>
      </c>
      <c r="K18" s="18">
        <f>AVERAGE('execs Table 2'!C38,'execs Table 2'!E38,'execs Table 2'!G38,'execs Table 2'!I38,'execs Table 2'!K38)</f>
        <v>26</v>
      </c>
      <c r="L18" s="18">
        <f>AVERAGE('execs Table 2'!D38,'execs Table 2'!F38,'execs Table 2'!H38,'execs Table 2'!J38,'execs Table 2'!L38)</f>
        <v>22.767200088500978</v>
      </c>
      <c r="M18" s="3">
        <f t="shared" si="12"/>
        <v>0</v>
      </c>
      <c r="N18" s="1">
        <f t="shared" si="4"/>
        <v>1</v>
      </c>
      <c r="O18" s="18">
        <f>AVERAGE('execs Table 2'!C10,'execs Table 2'!E10,'execs Table 2'!G10,'execs Table 2'!I10,'execs Table 2'!K10)</f>
        <v>26</v>
      </c>
      <c r="P18" s="18">
        <f>AVERAGE('execs Table 2'!D10,'execs Table 2'!F10,'execs Table 2'!H10,'execs Table 2'!J10,'execs Table 2'!L10)</f>
        <v>6.0879998207092285</v>
      </c>
      <c r="Q18" s="3">
        <f t="shared" si="5"/>
        <v>0</v>
      </c>
      <c r="R18" s="1">
        <f t="shared" si="6"/>
        <v>1</v>
      </c>
      <c r="S18" s="18">
        <f>AVERAGE('execs Table 2'!C66,'execs Table 2'!E66,'execs Table 2'!G66,'execs Table 2'!I66,'execs Table 2'!K66)</f>
        <v>26</v>
      </c>
      <c r="T18" s="18">
        <f>AVERAGE('execs Table 2'!D66,'execs Table 2'!F66,'execs Table 2'!H66,'execs Table 2'!J66,'execs Table 2'!L66)</f>
        <v>5.6829999923706058</v>
      </c>
      <c r="U18" s="3">
        <f t="shared" si="7"/>
        <v>0</v>
      </c>
      <c r="V18" s="1">
        <f t="shared" si="8"/>
        <v>1</v>
      </c>
      <c r="W18" s="18">
        <f>AVERAGE('execs Table 2'!C94,'execs Table 2'!E94,'execs Table 2'!G94,'execs Table 2'!I94,'execs Table 2'!K94)</f>
        <v>26</v>
      </c>
      <c r="X18" s="18">
        <f>AVERAGE('execs Table 2'!D94,'execs Table 2'!F94,'execs Table 2'!H94,'execs Table 2'!J94,'execs Table 2'!L94)</f>
        <v>6.9178000450134274</v>
      </c>
      <c r="Y18" s="3">
        <f t="shared" si="9"/>
        <v>0</v>
      </c>
      <c r="Z18" s="1">
        <f t="shared" si="10"/>
        <v>1</v>
      </c>
      <c r="AG18" s="9"/>
      <c r="AH18" s="2"/>
      <c r="AK18" s="9"/>
      <c r="AL18" s="2"/>
      <c r="AO18" s="9"/>
      <c r="AP18" s="2"/>
      <c r="AR18" s="2">
        <f t="shared" si="11"/>
        <v>26</v>
      </c>
    </row>
    <row r="19" spans="2:44" ht="16" x14ac:dyDescent="0.2">
      <c r="B19" t="s">
        <v>13</v>
      </c>
      <c r="C19" s="18">
        <f>AVERAGE('execs Table 2'!C123,'execs Table 2'!E123,'execs Table 2'!G123,'execs Table 2'!I123,'execs Table 2'!K123)</f>
        <v>295</v>
      </c>
      <c r="D19" s="18">
        <f>AVERAGE('execs Table 2'!D123,'execs Table 2'!F123,'execs Table 2'!H123,'execs Table 2'!J123,'execs Table 2'!L123)</f>
        <v>33.276599121093753</v>
      </c>
      <c r="E19" s="3">
        <f t="shared" si="2"/>
        <v>6.8259385665529011E-3</v>
      </c>
      <c r="F19" s="1">
        <f t="shared" si="3"/>
        <v>0</v>
      </c>
      <c r="G19" s="18">
        <f>AVERAGE('execs Table 2'!C151,'execs Table 2'!E151,'execs Table 2'!G151,'execs Table 2'!I151,'execs Table 2'!K151)</f>
        <v>298.39999999999998</v>
      </c>
      <c r="H19" s="18">
        <f>AVERAGE('execs Table 2'!D151,'execs Table 2'!F151,'execs Table 2'!H151,'execs Table 2'!J151,'execs Table 2'!L151)</f>
        <v>29.440599822998045</v>
      </c>
      <c r="I19" s="3">
        <f t="shared" si="0"/>
        <v>1.8430034129692754E-2</v>
      </c>
      <c r="J19" s="1">
        <f t="shared" si="1"/>
        <v>0</v>
      </c>
      <c r="K19" s="18">
        <f>AVERAGE('execs Table 2'!C39,'execs Table 2'!E39,'execs Table 2'!G39,'execs Table 2'!I39,'execs Table 2'!K39)</f>
        <v>302</v>
      </c>
      <c r="L19" s="18">
        <f>AVERAGE('execs Table 2'!D39,'execs Table 2'!F39,'execs Table 2'!H39,'execs Table 2'!J39,'execs Table 2'!L39)</f>
        <v>66.821998596191406</v>
      </c>
      <c r="M19" s="3">
        <f t="shared" si="12"/>
        <v>3.0716723549488054E-2</v>
      </c>
      <c r="N19" s="1">
        <f t="shared" si="4"/>
        <v>0</v>
      </c>
      <c r="O19" s="18">
        <f>AVERAGE('execs Table 2'!C11,'execs Table 2'!E11,'execs Table 2'!G11,'execs Table 2'!I11,'execs Table 2'!K11)</f>
        <v>293</v>
      </c>
      <c r="P19" s="18">
        <f>AVERAGE('execs Table 2'!D11,'execs Table 2'!F11,'execs Table 2'!H11,'execs Table 2'!J11,'execs Table 2'!L11)</f>
        <v>40.907199859619141</v>
      </c>
      <c r="Q19" s="3">
        <f t="shared" si="5"/>
        <v>0</v>
      </c>
      <c r="R19" s="1">
        <f t="shared" si="6"/>
        <v>1</v>
      </c>
      <c r="S19" s="18">
        <f>AVERAGE('execs Table 2'!C67,'execs Table 2'!E67,'execs Table 2'!G67,'execs Table 2'!I67,'execs Table 2'!K67)</f>
        <v>294.8</v>
      </c>
      <c r="T19" s="18">
        <f>AVERAGE('execs Table 2'!D67,'execs Table 2'!F67,'execs Table 2'!H67,'execs Table 2'!J67,'execs Table 2'!L67)</f>
        <v>26.460599899291992</v>
      </c>
      <c r="U19" s="3">
        <f t="shared" si="7"/>
        <v>6.1433447098976496E-3</v>
      </c>
      <c r="V19" s="1">
        <f t="shared" si="8"/>
        <v>0</v>
      </c>
      <c r="W19" s="18">
        <f>AVERAGE('execs Table 2'!C95,'execs Table 2'!E95,'execs Table 2'!G95,'execs Table 2'!I95,'execs Table 2'!K95)</f>
        <v>297.60000000000002</v>
      </c>
      <c r="X19" s="18">
        <f>AVERAGE('execs Table 2'!D95,'execs Table 2'!F95,'execs Table 2'!H95,'execs Table 2'!J95,'execs Table 2'!L95)</f>
        <v>45.44620056152344</v>
      </c>
      <c r="Y19" s="3">
        <f t="shared" si="9"/>
        <v>1.5699658703071748E-2</v>
      </c>
      <c r="Z19" s="1">
        <f t="shared" si="10"/>
        <v>0</v>
      </c>
      <c r="AG19" s="9"/>
      <c r="AH19" s="2"/>
      <c r="AK19" s="9"/>
      <c r="AL19" s="2"/>
      <c r="AO19" s="9"/>
      <c r="AP19" s="2"/>
      <c r="AR19" s="2">
        <f t="shared" si="11"/>
        <v>293</v>
      </c>
    </row>
    <row r="20" spans="2:44" ht="16" x14ac:dyDescent="0.2">
      <c r="B20" t="s">
        <v>14</v>
      </c>
      <c r="C20" s="18">
        <f>AVERAGE('execs Table 2'!C124,'execs Table 2'!E124,'execs Table 2'!G124,'execs Table 2'!I124,'execs Table 2'!K124)</f>
        <v>150</v>
      </c>
      <c r="D20" s="18">
        <f>AVERAGE('execs Table 2'!D124,'execs Table 2'!F124,'execs Table 2'!H124,'execs Table 2'!J124,'execs Table 2'!L124)</f>
        <v>0.73779999017715459</v>
      </c>
      <c r="E20" s="3">
        <f t="shared" si="2"/>
        <v>2.6737967914438883E-3</v>
      </c>
      <c r="F20" s="1">
        <f t="shared" si="3"/>
        <v>0</v>
      </c>
      <c r="G20" s="18">
        <f>AVERAGE('execs Table 2'!C152,'execs Table 2'!E152,'execs Table 2'!G152,'execs Table 2'!I152,'execs Table 2'!K152)</f>
        <v>150.19999999999999</v>
      </c>
      <c r="H20" s="18">
        <f>AVERAGE('execs Table 2'!D152,'execs Table 2'!F152,'execs Table 2'!H152,'execs Table 2'!J152,'execs Table 2'!L152)</f>
        <v>0.77519999742507939</v>
      </c>
      <c r="I20" s="3">
        <f t="shared" si="0"/>
        <v>4.0106951871657377E-3</v>
      </c>
      <c r="J20" s="1">
        <f t="shared" si="1"/>
        <v>0</v>
      </c>
      <c r="K20" s="18">
        <f>AVERAGE('execs Table 2'!C40,'execs Table 2'!E40,'execs Table 2'!G40,'execs Table 2'!I40,'execs Table 2'!K40)</f>
        <v>156.4</v>
      </c>
      <c r="L20" s="18">
        <f>AVERAGE('execs Table 2'!D40,'execs Table 2'!F40,'execs Table 2'!H40,'execs Table 2'!J40,'execs Table 2'!L40)</f>
        <v>5.7331999778747562</v>
      </c>
      <c r="M20" s="3">
        <f t="shared" si="12"/>
        <v>4.5454545454545532E-2</v>
      </c>
      <c r="N20" s="1">
        <f t="shared" si="4"/>
        <v>0</v>
      </c>
      <c r="O20" s="18">
        <f>AVERAGE('execs Table 2'!C12,'execs Table 2'!E12,'execs Table 2'!G12,'execs Table 2'!I12,'execs Table 2'!K12)</f>
        <v>150.6</v>
      </c>
      <c r="P20" s="18">
        <f>AVERAGE('execs Table 2'!D12,'execs Table 2'!F12,'execs Table 2'!H12,'execs Table 2'!J12,'execs Table 2'!L12)</f>
        <v>0.79940000772476194</v>
      </c>
      <c r="Q20" s="3">
        <f t="shared" si="5"/>
        <v>6.6844919786096255E-3</v>
      </c>
      <c r="R20" s="1">
        <f t="shared" si="6"/>
        <v>0</v>
      </c>
      <c r="S20" s="18">
        <f>AVERAGE('execs Table 2'!C68,'execs Table 2'!E68,'execs Table 2'!G68,'execs Table 2'!I68,'execs Table 2'!K68)</f>
        <v>149.6</v>
      </c>
      <c r="T20" s="18">
        <f>AVERAGE('execs Table 2'!D68,'execs Table 2'!F68,'execs Table 2'!H68,'execs Table 2'!J68,'execs Table 2'!L68)</f>
        <v>0.67360000610351567</v>
      </c>
      <c r="U20" s="3">
        <f t="shared" si="7"/>
        <v>0</v>
      </c>
      <c r="V20" s="1">
        <f t="shared" si="8"/>
        <v>1</v>
      </c>
      <c r="W20" s="18">
        <f>AVERAGE('execs Table 2'!C96,'execs Table 2'!E96,'execs Table 2'!G96,'execs Table 2'!I96,'execs Table 2'!K96)</f>
        <v>150.19999999999999</v>
      </c>
      <c r="X20" s="18">
        <f>AVERAGE('execs Table 2'!D96,'execs Table 2'!F96,'execs Table 2'!H96,'execs Table 2'!J96,'execs Table 2'!L96)</f>
        <v>0.91839998960494995</v>
      </c>
      <c r="Y20" s="3">
        <f t="shared" si="9"/>
        <v>4.0106951871657377E-3</v>
      </c>
      <c r="Z20" s="1">
        <f t="shared" si="10"/>
        <v>0</v>
      </c>
      <c r="AG20" s="9"/>
      <c r="AH20" s="2"/>
      <c r="AK20" s="9"/>
      <c r="AL20" s="2"/>
      <c r="AO20" s="9"/>
      <c r="AP20" s="2"/>
      <c r="AR20" s="2">
        <f t="shared" si="11"/>
        <v>149.6</v>
      </c>
    </row>
    <row r="21" spans="2:44" ht="16" x14ac:dyDescent="0.2">
      <c r="B21" t="s">
        <v>15</v>
      </c>
      <c r="C21" s="18">
        <f>AVERAGE('execs Table 2'!C125,'execs Table 2'!E125,'execs Table 2'!G125,'execs Table 2'!I125,'execs Table 2'!K125)</f>
        <v>43.6</v>
      </c>
      <c r="D21" s="18">
        <f>AVERAGE('execs Table 2'!D125,'execs Table 2'!F125,'execs Table 2'!H125,'execs Table 2'!J125,'execs Table 2'!L125)</f>
        <v>7.2000002488493923E-3</v>
      </c>
      <c r="E21" s="3">
        <f t="shared" si="2"/>
        <v>0</v>
      </c>
      <c r="F21" s="1">
        <f t="shared" si="3"/>
        <v>1</v>
      </c>
      <c r="G21" s="18">
        <f>AVERAGE('execs Table 2'!C153,'execs Table 2'!E153,'execs Table 2'!G153,'execs Table 2'!I153,'execs Table 2'!K153)</f>
        <v>43.6</v>
      </c>
      <c r="H21" s="18">
        <f>AVERAGE('execs Table 2'!D153,'execs Table 2'!F153,'execs Table 2'!H153,'execs Table 2'!J153,'execs Table 2'!L153)</f>
        <v>7.4000000953674313E-3</v>
      </c>
      <c r="I21" s="3">
        <f t="shared" si="0"/>
        <v>0</v>
      </c>
      <c r="J21" s="1">
        <f t="shared" si="1"/>
        <v>1</v>
      </c>
      <c r="K21" s="18">
        <f>AVERAGE('execs Table 2'!C41,'execs Table 2'!E41,'execs Table 2'!G41,'execs Table 2'!I41,'execs Table 2'!K41)</f>
        <v>44.6</v>
      </c>
      <c r="L21" s="18">
        <f>AVERAGE('execs Table 2'!D41,'execs Table 2'!F41,'execs Table 2'!H41,'execs Table 2'!J41,'execs Table 2'!L41)</f>
        <v>2.0199999772012235E-2</v>
      </c>
      <c r="M21" s="3">
        <f t="shared" si="12"/>
        <v>2.2935779816513759E-2</v>
      </c>
      <c r="N21" s="1">
        <f t="shared" si="4"/>
        <v>0</v>
      </c>
      <c r="O21" s="18">
        <f>AVERAGE('execs Table 2'!C13,'execs Table 2'!E13,'execs Table 2'!G13,'execs Table 2'!I13,'execs Table 2'!K13)</f>
        <v>43.8</v>
      </c>
      <c r="P21" s="18">
        <f>AVERAGE('execs Table 2'!D13,'execs Table 2'!F13,'execs Table 2'!H13,'execs Table 2'!J13,'execs Table 2'!L13)</f>
        <v>7.6000001281499863E-3</v>
      </c>
      <c r="Q21" s="3">
        <f t="shared" si="5"/>
        <v>4.5871559633026545E-3</v>
      </c>
      <c r="R21" s="1">
        <f t="shared" si="6"/>
        <v>0</v>
      </c>
      <c r="S21" s="18">
        <f>AVERAGE('execs Table 2'!C69,'execs Table 2'!E69,'execs Table 2'!G69,'execs Table 2'!I69,'execs Table 2'!K69)</f>
        <v>44</v>
      </c>
      <c r="T21" s="18">
        <f>AVERAGE('execs Table 2'!D69,'execs Table 2'!F69,'execs Table 2'!H69,'execs Table 2'!J69,'execs Table 2'!L69)</f>
        <v>5.0000000745058061E-3</v>
      </c>
      <c r="U21" s="3">
        <f t="shared" si="7"/>
        <v>9.1743119266054721E-3</v>
      </c>
      <c r="V21" s="1">
        <f t="shared" si="8"/>
        <v>0</v>
      </c>
      <c r="W21" s="18">
        <f>AVERAGE('execs Table 2'!C97,'execs Table 2'!E97,'execs Table 2'!G97,'execs Table 2'!I97,'execs Table 2'!K97)</f>
        <v>43.6</v>
      </c>
      <c r="X21" s="18">
        <f>AVERAGE('execs Table 2'!D97,'execs Table 2'!F97,'execs Table 2'!H97,'execs Table 2'!J97,'execs Table 2'!L97)</f>
        <v>8.6000001057982452E-3</v>
      </c>
      <c r="Y21" s="3">
        <f t="shared" si="9"/>
        <v>0</v>
      </c>
      <c r="Z21" s="1">
        <f t="shared" si="10"/>
        <v>1</v>
      </c>
      <c r="AG21" s="9"/>
      <c r="AH21" s="2"/>
      <c r="AK21" s="9"/>
      <c r="AL21" s="2"/>
      <c r="AO21" s="9"/>
      <c r="AP21" s="2"/>
      <c r="AR21" s="2">
        <f t="shared" si="11"/>
        <v>43.6</v>
      </c>
    </row>
    <row r="22" spans="2:44" ht="16" x14ac:dyDescent="0.2">
      <c r="B22" t="s">
        <v>16</v>
      </c>
      <c r="C22" s="18">
        <f>AVERAGE('execs Table 2'!C126,'execs Table 2'!E126,'execs Table 2'!G126,'execs Table 2'!I126,'execs Table 2'!K126)</f>
        <v>18</v>
      </c>
      <c r="D22" s="18">
        <f>AVERAGE('execs Table 2'!D126,'execs Table 2'!F126,'execs Table 2'!H126,'execs Table 2'!J126,'execs Table 2'!L126)</f>
        <v>11.991800117492676</v>
      </c>
      <c r="E22" s="3">
        <f t="shared" si="2"/>
        <v>0</v>
      </c>
      <c r="F22" s="1">
        <f t="shared" si="3"/>
        <v>1</v>
      </c>
      <c r="G22" s="18">
        <f>AVERAGE('execs Table 2'!C154,'execs Table 2'!E154,'execs Table 2'!G154,'execs Table 2'!I154,'execs Table 2'!K154)</f>
        <v>18</v>
      </c>
      <c r="H22" s="18">
        <f>AVERAGE('execs Table 2'!D154,'execs Table 2'!F154,'execs Table 2'!H154,'execs Table 2'!J154,'execs Table 2'!L154)</f>
        <v>11.706599998474122</v>
      </c>
      <c r="I22" s="3">
        <f t="shared" si="0"/>
        <v>0</v>
      </c>
      <c r="J22" s="1">
        <f t="shared" si="1"/>
        <v>1</v>
      </c>
      <c r="K22" s="18">
        <f>AVERAGE('execs Table 2'!C42,'execs Table 2'!E42,'execs Table 2'!G42,'execs Table 2'!I42,'execs Table 2'!K42)</f>
        <v>18</v>
      </c>
      <c r="L22" s="18">
        <f>AVERAGE('execs Table 2'!D42,'execs Table 2'!F42,'execs Table 2'!H42,'execs Table 2'!J42,'execs Table 2'!L42)</f>
        <v>40.876000213623044</v>
      </c>
      <c r="M22" s="3">
        <f t="shared" si="12"/>
        <v>0</v>
      </c>
      <c r="N22" s="1">
        <f t="shared" si="4"/>
        <v>1</v>
      </c>
      <c r="O22" s="18">
        <f>AVERAGE('execs Table 2'!C14,'execs Table 2'!E14,'execs Table 2'!G14,'execs Table 2'!I14,'execs Table 2'!K14)</f>
        <v>18</v>
      </c>
      <c r="P22" s="18">
        <f>AVERAGE('execs Table 2'!D14,'execs Table 2'!F14,'execs Table 2'!H14,'execs Table 2'!J14,'execs Table 2'!L14)</f>
        <v>11.12660026550293</v>
      </c>
      <c r="Q22" s="3">
        <f t="shared" si="5"/>
        <v>0</v>
      </c>
      <c r="R22" s="1">
        <f t="shared" si="6"/>
        <v>1</v>
      </c>
      <c r="S22" s="18">
        <f>AVERAGE('execs Table 2'!C70,'execs Table 2'!E70,'execs Table 2'!G70,'execs Table 2'!I70,'execs Table 2'!K70)</f>
        <v>18</v>
      </c>
      <c r="T22" s="18">
        <f>AVERAGE('execs Table 2'!D70,'execs Table 2'!F70,'execs Table 2'!H70,'execs Table 2'!J70,'execs Table 2'!L70)</f>
        <v>10.138400077819824</v>
      </c>
      <c r="U22" s="3">
        <f t="shared" si="7"/>
        <v>0</v>
      </c>
      <c r="V22" s="1">
        <f t="shared" si="8"/>
        <v>1</v>
      </c>
      <c r="W22" s="18">
        <f>AVERAGE('execs Table 2'!C98,'execs Table 2'!E98,'execs Table 2'!G98,'execs Table 2'!I98,'execs Table 2'!K98)</f>
        <v>18</v>
      </c>
      <c r="X22" s="18">
        <f>AVERAGE('execs Table 2'!D98,'execs Table 2'!F98,'execs Table 2'!H98,'execs Table 2'!J98,'execs Table 2'!L98)</f>
        <v>13.013999938964844</v>
      </c>
      <c r="Y22" s="3">
        <f t="shared" si="9"/>
        <v>0</v>
      </c>
      <c r="Z22" s="1">
        <f t="shared" si="10"/>
        <v>1</v>
      </c>
      <c r="AG22" s="9"/>
      <c r="AH22" s="2"/>
      <c r="AK22" s="9"/>
      <c r="AL22" s="2"/>
      <c r="AO22" s="9"/>
      <c r="AP22" s="2"/>
      <c r="AR22" s="2">
        <f t="shared" si="11"/>
        <v>18</v>
      </c>
    </row>
    <row r="23" spans="2:44" ht="16" x14ac:dyDescent="0.2">
      <c r="B23" t="s">
        <v>17</v>
      </c>
      <c r="C23" s="18">
        <f>AVERAGE('execs Table 2'!C127,'execs Table 2'!E127,'execs Table 2'!G127,'execs Table 2'!I127,'execs Table 2'!K127)</f>
        <v>3</v>
      </c>
      <c r="D23" s="18">
        <f>AVERAGE('execs Table 2'!D127,'execs Table 2'!F127,'execs Table 2'!H127,'execs Table 2'!J127,'execs Table 2'!L127)</f>
        <v>15.683199882507324</v>
      </c>
      <c r="E23" s="3">
        <f t="shared" si="2"/>
        <v>0</v>
      </c>
      <c r="F23" s="1">
        <f t="shared" si="3"/>
        <v>1</v>
      </c>
      <c r="G23" s="18">
        <f>AVERAGE('execs Table 2'!C155,'execs Table 2'!E155,'execs Table 2'!G155,'execs Table 2'!I155,'execs Table 2'!K155)</f>
        <v>3</v>
      </c>
      <c r="H23" s="18">
        <f>AVERAGE('execs Table 2'!D155,'execs Table 2'!F155,'execs Table 2'!H155,'execs Table 2'!J155,'execs Table 2'!L155)</f>
        <v>16.786599731445314</v>
      </c>
      <c r="I23" s="3">
        <f t="shared" si="0"/>
        <v>0</v>
      </c>
      <c r="J23" s="1">
        <f t="shared" si="1"/>
        <v>1</v>
      </c>
      <c r="K23" s="18">
        <f>AVERAGE('execs Table 2'!C43,'execs Table 2'!E43,'execs Table 2'!G43,'execs Table 2'!I43,'execs Table 2'!K43)</f>
        <v>3</v>
      </c>
      <c r="L23" s="18">
        <f>AVERAGE('execs Table 2'!D43,'execs Table 2'!F43,'execs Table 2'!H43,'execs Table 2'!J43,'execs Table 2'!L43)</f>
        <v>96.309399414062497</v>
      </c>
      <c r="M23" s="3">
        <f t="shared" si="12"/>
        <v>0</v>
      </c>
      <c r="N23" s="1">
        <f t="shared" si="4"/>
        <v>1</v>
      </c>
      <c r="O23" s="18">
        <f>AVERAGE('execs Table 2'!C15,'execs Table 2'!E15,'execs Table 2'!G15,'execs Table 2'!I15,'execs Table 2'!K15)</f>
        <v>3</v>
      </c>
      <c r="P23" s="18">
        <f>AVERAGE('execs Table 2'!D15,'execs Table 2'!F15,'execs Table 2'!H15,'execs Table 2'!J15,'execs Table 2'!L15)</f>
        <v>12.49600009918213</v>
      </c>
      <c r="Q23" s="3">
        <f t="shared" si="5"/>
        <v>0</v>
      </c>
      <c r="R23" s="1">
        <f t="shared" si="6"/>
        <v>1</v>
      </c>
      <c r="S23" s="18">
        <f>AVERAGE('execs Table 2'!C71,'execs Table 2'!E71,'execs Table 2'!G71,'execs Table 2'!I71,'execs Table 2'!K71)</f>
        <v>3</v>
      </c>
      <c r="T23" s="18">
        <f>AVERAGE('execs Table 2'!D71,'execs Table 2'!F71,'execs Table 2'!H71,'execs Table 2'!J71,'execs Table 2'!L71)</f>
        <v>11.372200012207031</v>
      </c>
      <c r="U23" s="3">
        <f t="shared" si="7"/>
        <v>0</v>
      </c>
      <c r="V23" s="1">
        <f t="shared" si="8"/>
        <v>1</v>
      </c>
      <c r="W23" s="18">
        <f>AVERAGE('execs Table 2'!C99,'execs Table 2'!E99,'execs Table 2'!G99,'execs Table 2'!I99,'execs Table 2'!K99)</f>
        <v>3</v>
      </c>
      <c r="X23" s="18">
        <f>AVERAGE('execs Table 2'!D99,'execs Table 2'!F99,'execs Table 2'!H99,'execs Table 2'!J99,'execs Table 2'!L99)</f>
        <v>20.255599975585938</v>
      </c>
      <c r="Y23" s="3">
        <f t="shared" si="9"/>
        <v>0</v>
      </c>
      <c r="Z23" s="1">
        <f t="shared" si="10"/>
        <v>1</v>
      </c>
      <c r="AG23" s="9"/>
      <c r="AH23" s="2"/>
      <c r="AK23" s="9"/>
      <c r="AL23" s="2"/>
      <c r="AO23" s="9"/>
      <c r="AP23" s="2"/>
      <c r="AR23" s="2">
        <f t="shared" si="11"/>
        <v>3</v>
      </c>
    </row>
    <row r="24" spans="2:44" ht="16" x14ac:dyDescent="0.2">
      <c r="B24" t="s">
        <v>18</v>
      </c>
      <c r="C24" s="18">
        <f>AVERAGE('execs Table 2'!C128,'execs Table 2'!E128,'execs Table 2'!G128,'execs Table 2'!I128,'execs Table 2'!K128)</f>
        <v>59</v>
      </c>
      <c r="D24" s="18">
        <f>AVERAGE('execs Table 2'!D128,'execs Table 2'!F128,'execs Table 2'!H128,'execs Table 2'!J128,'execs Table 2'!L128)</f>
        <v>0.21520000100135803</v>
      </c>
      <c r="E24" s="3">
        <f t="shared" si="2"/>
        <v>0</v>
      </c>
      <c r="F24" s="1">
        <f t="shared" si="3"/>
        <v>1</v>
      </c>
      <c r="G24" s="18">
        <f>AVERAGE('execs Table 2'!C156,'execs Table 2'!E156,'execs Table 2'!G156,'execs Table 2'!I156,'execs Table 2'!K156)</f>
        <v>59</v>
      </c>
      <c r="H24" s="18">
        <f>AVERAGE('execs Table 2'!D156,'execs Table 2'!F156,'execs Table 2'!H156,'execs Table 2'!J156,'execs Table 2'!L156)</f>
        <v>0.22120000123977662</v>
      </c>
      <c r="I24" s="3">
        <f t="shared" si="0"/>
        <v>0</v>
      </c>
      <c r="J24" s="1">
        <f t="shared" si="1"/>
        <v>1</v>
      </c>
      <c r="K24" s="18">
        <f>AVERAGE('execs Table 2'!C44,'execs Table 2'!E44,'execs Table 2'!G44,'execs Table 2'!I44,'execs Table 2'!K44)</f>
        <v>61.6</v>
      </c>
      <c r="L24" s="18">
        <f>AVERAGE('execs Table 2'!D44,'execs Table 2'!F44,'execs Table 2'!H44,'execs Table 2'!J44,'execs Table 2'!L44)</f>
        <v>0.36060000061988828</v>
      </c>
      <c r="M24" s="3">
        <f t="shared" si="12"/>
        <v>4.4067796610169518E-2</v>
      </c>
      <c r="N24" s="1">
        <f t="shared" si="4"/>
        <v>0</v>
      </c>
      <c r="O24" s="18">
        <f>AVERAGE('execs Table 2'!C16,'execs Table 2'!E16,'execs Table 2'!G16,'execs Table 2'!I16,'execs Table 2'!K16)</f>
        <v>59</v>
      </c>
      <c r="P24" s="18">
        <f>AVERAGE('execs Table 2'!D16,'execs Table 2'!F16,'execs Table 2'!H16,'execs Table 2'!J16,'execs Table 2'!L16)</f>
        <v>0.21260000169277191</v>
      </c>
      <c r="Q24" s="3">
        <f t="shared" si="5"/>
        <v>0</v>
      </c>
      <c r="R24" s="1">
        <f t="shared" si="6"/>
        <v>1</v>
      </c>
      <c r="S24" s="18">
        <f>AVERAGE('execs Table 2'!C72,'execs Table 2'!E72,'execs Table 2'!G72,'execs Table 2'!I72,'execs Table 2'!K72)</f>
        <v>59</v>
      </c>
      <c r="T24" s="18">
        <f>AVERAGE('execs Table 2'!D72,'execs Table 2'!F72,'execs Table 2'!H72,'execs Table 2'!J72,'execs Table 2'!L72)</f>
        <v>0.18540000021457673</v>
      </c>
      <c r="U24" s="3">
        <f t="shared" si="7"/>
        <v>0</v>
      </c>
      <c r="V24" s="1">
        <f t="shared" si="8"/>
        <v>1</v>
      </c>
      <c r="W24" s="18">
        <f>AVERAGE('execs Table 2'!C100,'execs Table 2'!E100,'execs Table 2'!G100,'execs Table 2'!I100,'execs Table 2'!K100)</f>
        <v>59</v>
      </c>
      <c r="X24" s="18">
        <f>AVERAGE('execs Table 2'!D100,'execs Table 2'!F100,'execs Table 2'!H100,'execs Table 2'!J100,'execs Table 2'!L100)</f>
        <v>0.24619999229907991</v>
      </c>
      <c r="Y24" s="3">
        <f t="shared" si="9"/>
        <v>0</v>
      </c>
      <c r="Z24" s="1">
        <f t="shared" si="10"/>
        <v>1</v>
      </c>
      <c r="AG24" s="9"/>
      <c r="AH24" s="2"/>
      <c r="AK24" s="9"/>
      <c r="AL24" s="2"/>
      <c r="AO24" s="9"/>
      <c r="AP24" s="2"/>
      <c r="AR24" s="2">
        <f t="shared" si="11"/>
        <v>59</v>
      </c>
    </row>
    <row r="25" spans="2:44" ht="16" x14ac:dyDescent="0.2">
      <c r="B25" t="s">
        <v>19</v>
      </c>
      <c r="C25" s="18">
        <f>AVERAGE('execs Table 2'!C129,'execs Table 2'!E129,'execs Table 2'!G129,'execs Table 2'!I129,'execs Table 2'!K129)</f>
        <v>313.2</v>
      </c>
      <c r="D25" s="18">
        <f>AVERAGE('execs Table 2'!D129,'execs Table 2'!F129,'execs Table 2'!H129,'execs Table 2'!J129,'execs Table 2'!L129)</f>
        <v>4.4569999694824221</v>
      </c>
      <c r="E25" s="3">
        <f t="shared" si="2"/>
        <v>0</v>
      </c>
      <c r="F25" s="1">
        <f t="shared" si="3"/>
        <v>1</v>
      </c>
      <c r="G25" s="18">
        <f>AVERAGE('execs Table 2'!C157,'execs Table 2'!E157,'execs Table 2'!G157,'execs Table 2'!I157,'execs Table 2'!K157)</f>
        <v>321.8</v>
      </c>
      <c r="H25" s="18">
        <f>AVERAGE('execs Table 2'!D157,'execs Table 2'!F157,'execs Table 2'!H157,'execs Table 2'!J157,'execs Table 2'!L157)</f>
        <v>2.8622000217437744</v>
      </c>
      <c r="I25" s="3">
        <f t="shared" si="0"/>
        <v>2.7458492975734428E-2</v>
      </c>
      <c r="J25" s="1">
        <f t="shared" si="1"/>
        <v>0</v>
      </c>
      <c r="K25" s="18">
        <f>AVERAGE('execs Table 2'!C45,'execs Table 2'!E45,'execs Table 2'!G45,'execs Table 2'!I45,'execs Table 2'!K45)</f>
        <v>366.6</v>
      </c>
      <c r="L25" s="18">
        <f>AVERAGE('execs Table 2'!D45,'execs Table 2'!F45,'execs Table 2'!H45,'execs Table 2'!J45,'execs Table 2'!L45)</f>
        <v>92.53219909667969</v>
      </c>
      <c r="M25" s="3">
        <f t="shared" si="12"/>
        <v>0.17049808429118785</v>
      </c>
      <c r="N25" s="1">
        <f t="shared" si="4"/>
        <v>0</v>
      </c>
      <c r="O25" s="18">
        <f>AVERAGE('execs Table 2'!C17,'execs Table 2'!E17,'execs Table 2'!G17,'execs Table 2'!I17,'execs Table 2'!K17)</f>
        <v>327.60000000000002</v>
      </c>
      <c r="P25" s="18">
        <f>AVERAGE('execs Table 2'!D17,'execs Table 2'!F17,'execs Table 2'!H17,'execs Table 2'!J17,'execs Table 2'!L17)</f>
        <v>2.8920000076293944</v>
      </c>
      <c r="Q25" s="3">
        <f t="shared" si="5"/>
        <v>4.5977011494252984E-2</v>
      </c>
      <c r="R25" s="1">
        <f t="shared" si="6"/>
        <v>0</v>
      </c>
      <c r="S25" s="18">
        <f>AVERAGE('execs Table 2'!C73,'execs Table 2'!E73,'execs Table 2'!G73,'execs Table 2'!I73,'execs Table 2'!K73)</f>
        <v>319.60000000000002</v>
      </c>
      <c r="T25" s="18">
        <f>AVERAGE('execs Table 2'!D73,'execs Table 2'!F73,'execs Table 2'!H73,'execs Table 2'!J73,'execs Table 2'!L73)</f>
        <v>2.099999952316284</v>
      </c>
      <c r="U25" s="3">
        <f t="shared" si="7"/>
        <v>2.0434227330779164E-2</v>
      </c>
      <c r="V25" s="1">
        <f t="shared" si="8"/>
        <v>0</v>
      </c>
      <c r="W25" s="18">
        <f>AVERAGE('execs Table 2'!C101,'execs Table 2'!E101,'execs Table 2'!G101,'execs Table 2'!I101,'execs Table 2'!K101)</f>
        <v>330</v>
      </c>
      <c r="X25" s="18">
        <f>AVERAGE('execs Table 2'!D101,'execs Table 2'!F101,'execs Table 2'!H101,'execs Table 2'!J101,'execs Table 2'!L101)</f>
        <v>3.568400001525879</v>
      </c>
      <c r="Y25" s="3">
        <f t="shared" si="9"/>
        <v>5.3639846743295055E-2</v>
      </c>
      <c r="Z25" s="1">
        <f t="shared" si="10"/>
        <v>0</v>
      </c>
      <c r="AB25" s="28"/>
      <c r="AC25" s="28"/>
      <c r="AD25" s="28"/>
      <c r="AG25" s="9"/>
      <c r="AH25" s="2"/>
      <c r="AK25" s="9"/>
      <c r="AL25" s="2"/>
      <c r="AO25" s="9"/>
      <c r="AP25" s="2"/>
      <c r="AR25" s="2">
        <f t="shared" si="11"/>
        <v>313.2</v>
      </c>
    </row>
    <row r="26" spans="2:44" ht="16" x14ac:dyDescent="0.2">
      <c r="B26" t="s">
        <v>20</v>
      </c>
      <c r="C26" s="18">
        <f>AVERAGE('execs Table 2'!C130,'execs Table 2'!E130,'execs Table 2'!G130,'execs Table 2'!I130,'execs Table 2'!K130)</f>
        <v>518</v>
      </c>
      <c r="D26" s="18">
        <f>AVERAGE('execs Table 2'!D130,'execs Table 2'!F130,'execs Table 2'!H130,'execs Table 2'!J130,'execs Table 2'!L130)</f>
        <v>39.419200134277347</v>
      </c>
      <c r="E26" s="3">
        <f t="shared" si="2"/>
        <v>3.4870205346763934E-3</v>
      </c>
      <c r="F26" s="1">
        <f t="shared" si="3"/>
        <v>0</v>
      </c>
      <c r="G26" s="18">
        <f>AVERAGE('execs Table 2'!C158,'execs Table 2'!E158,'execs Table 2'!G158,'execs Table 2'!I158,'execs Table 2'!K158)</f>
        <v>516.20000000000005</v>
      </c>
      <c r="H26" s="18">
        <f>AVERAGE('execs Table 2'!D158,'execs Table 2'!F158,'execs Table 2'!H158,'execs Table 2'!J158,'execs Table 2'!L158)</f>
        <v>35.831800079345705</v>
      </c>
      <c r="I26" s="3">
        <f t="shared" si="0"/>
        <v>0</v>
      </c>
      <c r="J26" s="1">
        <f t="shared" si="1"/>
        <v>1</v>
      </c>
      <c r="K26" s="18">
        <f>AVERAGE('execs Table 2'!C46,'execs Table 2'!E46,'execs Table 2'!G46,'execs Table 2'!I46,'execs Table 2'!K46)</f>
        <v>802.8</v>
      </c>
      <c r="L26" s="18">
        <f>AVERAGE('execs Table 2'!D46,'execs Table 2'!F46,'execs Table 2'!H46,'execs Table 2'!J46,'execs Table 2'!L46)</f>
        <v>86.662400817871088</v>
      </c>
      <c r="M26" s="3">
        <f t="shared" si="12"/>
        <v>0.55521115846571079</v>
      </c>
      <c r="N26" s="1">
        <f t="shared" si="4"/>
        <v>0</v>
      </c>
      <c r="O26" s="18">
        <f>AVERAGE('execs Table 2'!C18,'execs Table 2'!E18,'execs Table 2'!G18,'execs Table 2'!I18,'execs Table 2'!K18)</f>
        <v>547.4</v>
      </c>
      <c r="P26" s="18">
        <f>AVERAGE('execs Table 2'!D18,'execs Table 2'!F18,'execs Table 2'!H18,'execs Table 2'!J18,'execs Table 2'!L18)</f>
        <v>31.851799011230469</v>
      </c>
      <c r="Q26" s="3">
        <f t="shared" si="5"/>
        <v>6.044168926772555E-2</v>
      </c>
      <c r="R26" s="1">
        <f t="shared" si="6"/>
        <v>0</v>
      </c>
      <c r="S26" s="18">
        <f>AVERAGE('execs Table 2'!C74,'execs Table 2'!E74,'execs Table 2'!G74,'execs Table 2'!I74,'execs Table 2'!K74)</f>
        <v>516.4</v>
      </c>
      <c r="T26" s="18">
        <f>AVERAGE('execs Table 2'!D74,'execs Table 2'!F74,'execs Table 2'!H74,'execs Table 2'!J74,'execs Table 2'!L74)</f>
        <v>21.917599868774413</v>
      </c>
      <c r="U26" s="3">
        <f t="shared" si="7"/>
        <v>3.8744672607503251E-4</v>
      </c>
      <c r="V26" s="1">
        <f t="shared" si="8"/>
        <v>0</v>
      </c>
      <c r="W26" s="18">
        <f>AVERAGE('execs Table 2'!C102,'execs Table 2'!E102,'execs Table 2'!G102,'execs Table 2'!I102,'execs Table 2'!K102)</f>
        <v>534.20000000000005</v>
      </c>
      <c r="X26" s="18">
        <f>AVERAGE('execs Table 2'!D102,'execs Table 2'!F102,'execs Table 2'!H102,'execs Table 2'!J102,'execs Table 2'!L102)</f>
        <v>35.13099899291992</v>
      </c>
      <c r="Y26" s="3">
        <f t="shared" si="9"/>
        <v>3.487020534676482E-2</v>
      </c>
      <c r="Z26" s="1">
        <f t="shared" si="10"/>
        <v>0</v>
      </c>
      <c r="AB26" s="28"/>
      <c r="AC26" s="28"/>
      <c r="AD26" s="28"/>
      <c r="AG26" s="9"/>
      <c r="AH26" s="2"/>
      <c r="AK26" s="9"/>
      <c r="AL26" s="2"/>
      <c r="AO26" s="9"/>
      <c r="AP26" s="2"/>
      <c r="AR26" s="2">
        <f t="shared" si="11"/>
        <v>516.20000000000005</v>
      </c>
    </row>
    <row r="27" spans="2:44" ht="16" x14ac:dyDescent="0.2">
      <c r="B27" t="s">
        <v>21</v>
      </c>
      <c r="C27" s="18">
        <f>AVERAGE('execs Table 2'!C131,'execs Table 2'!E131,'execs Table 2'!G131,'execs Table 2'!I131,'execs Table 2'!K131)</f>
        <v>104.8</v>
      </c>
      <c r="D27" s="18">
        <f>AVERAGE('execs Table 2'!D131,'execs Table 2'!F131,'execs Table 2'!H131,'execs Table 2'!J131,'execs Table 2'!L131)</f>
        <v>25.457200622558595</v>
      </c>
      <c r="E27" s="3">
        <f t="shared" si="2"/>
        <v>2.3437499999999917E-2</v>
      </c>
      <c r="F27" s="1">
        <f t="shared" si="3"/>
        <v>0</v>
      </c>
      <c r="G27" s="18">
        <f>AVERAGE('execs Table 2'!C159,'execs Table 2'!E159,'execs Table 2'!G159,'execs Table 2'!I159,'execs Table 2'!K159)</f>
        <v>104.8</v>
      </c>
      <c r="H27" s="18">
        <f>AVERAGE('execs Table 2'!D159,'execs Table 2'!F159,'execs Table 2'!H159,'execs Table 2'!J159,'execs Table 2'!L159)</f>
        <v>27.249599838256835</v>
      </c>
      <c r="I27" s="3">
        <f t="shared" si="0"/>
        <v>2.3437499999999917E-2</v>
      </c>
      <c r="J27" s="1">
        <f t="shared" si="1"/>
        <v>0</v>
      </c>
      <c r="K27" s="18">
        <f>AVERAGE('execs Table 2'!C47,'execs Table 2'!E47,'execs Table 2'!G47,'execs Table 2'!I47,'execs Table 2'!K47)</f>
        <v>112.4</v>
      </c>
      <c r="L27" s="18">
        <f>AVERAGE('execs Table 2'!D47,'execs Table 2'!F47,'execs Table 2'!H47,'execs Table 2'!J47,'execs Table 2'!L47)</f>
        <v>43.969799041748047</v>
      </c>
      <c r="M27" s="3">
        <f t="shared" si="12"/>
        <v>9.765625E-2</v>
      </c>
      <c r="N27" s="1">
        <f t="shared" si="4"/>
        <v>0</v>
      </c>
      <c r="O27" s="18">
        <f>AVERAGE('execs Table 2'!C19,'execs Table 2'!E19,'execs Table 2'!G19,'execs Table 2'!I19,'execs Table 2'!K19)</f>
        <v>103.6</v>
      </c>
      <c r="P27" s="18">
        <f>AVERAGE('execs Table 2'!D19,'execs Table 2'!F19,'execs Table 2'!H19,'execs Table 2'!J19,'execs Table 2'!L19)</f>
        <v>29.849000167846679</v>
      </c>
      <c r="Q27" s="3">
        <f t="shared" si="5"/>
        <v>1.1718749999999889E-2</v>
      </c>
      <c r="R27" s="1">
        <f t="shared" si="6"/>
        <v>0</v>
      </c>
      <c r="S27" s="18">
        <f>AVERAGE('execs Table 2'!C75,'execs Table 2'!E75,'execs Table 2'!G75,'execs Table 2'!I75,'execs Table 2'!K75)</f>
        <v>107.6</v>
      </c>
      <c r="T27" s="18">
        <f>AVERAGE('execs Table 2'!D75,'execs Table 2'!F75,'execs Table 2'!H75,'execs Table 2'!J75,'execs Table 2'!L75)</f>
        <v>18.760600090026855</v>
      </c>
      <c r="U27" s="3">
        <f t="shared" si="7"/>
        <v>5.0781249999999889E-2</v>
      </c>
      <c r="V27" s="1">
        <f t="shared" si="8"/>
        <v>0</v>
      </c>
      <c r="W27" s="18">
        <f>AVERAGE('execs Table 2'!C103,'execs Table 2'!E103,'execs Table 2'!G103,'execs Table 2'!I103,'execs Table 2'!K103)</f>
        <v>102.4</v>
      </c>
      <c r="X27" s="18">
        <f>AVERAGE('execs Table 2'!D103,'execs Table 2'!F103,'execs Table 2'!H103,'execs Table 2'!J103,'execs Table 2'!L103)</f>
        <v>44.2257999420166</v>
      </c>
      <c r="Y27" s="3">
        <f t="shared" si="9"/>
        <v>0</v>
      </c>
      <c r="Z27" s="1">
        <f t="shared" si="10"/>
        <v>1</v>
      </c>
      <c r="AG27" s="9"/>
      <c r="AH27" s="2"/>
      <c r="AK27" s="9"/>
      <c r="AL27" s="2"/>
      <c r="AO27" s="9"/>
      <c r="AP27" s="2"/>
      <c r="AR27" s="2">
        <f t="shared" si="11"/>
        <v>102.4</v>
      </c>
    </row>
    <row r="28" spans="2:44" ht="16" x14ac:dyDescent="0.2">
      <c r="B28" t="s">
        <v>22</v>
      </c>
      <c r="C28" s="18">
        <f>AVERAGE('execs Table 2'!C132,'execs Table 2'!E132,'execs Table 2'!G132,'execs Table 2'!I132,'execs Table 2'!K132)</f>
        <v>19</v>
      </c>
      <c r="D28" s="18">
        <f>AVERAGE('execs Table 2'!D132,'execs Table 2'!F132,'execs Table 2'!H132,'execs Table 2'!J132,'execs Table 2'!L132)</f>
        <v>7.2000002488493923E-3</v>
      </c>
      <c r="E28" s="3">
        <f t="shared" si="2"/>
        <v>0</v>
      </c>
      <c r="F28" s="1">
        <f t="shared" si="3"/>
        <v>1</v>
      </c>
      <c r="G28" s="18">
        <f>AVERAGE('execs Table 2'!C160,'execs Table 2'!E160,'execs Table 2'!G160,'execs Table 2'!I160,'execs Table 2'!K160)</f>
        <v>19.2</v>
      </c>
      <c r="H28" s="18">
        <f>AVERAGE('execs Table 2'!D160,'execs Table 2'!F160,'execs Table 2'!H160,'execs Table 2'!J160,'execs Table 2'!L160)</f>
        <v>8.9999999850988392E-3</v>
      </c>
      <c r="I28" s="3">
        <f t="shared" si="0"/>
        <v>1.0526315789473648E-2</v>
      </c>
      <c r="J28" s="1">
        <f t="shared" si="1"/>
        <v>0</v>
      </c>
      <c r="K28" s="18">
        <f>AVERAGE('execs Table 2'!C48,'execs Table 2'!E48,'execs Table 2'!G48,'execs Table 2'!I48,'execs Table 2'!K48)</f>
        <v>20.399999999999999</v>
      </c>
      <c r="L28" s="18">
        <f>AVERAGE('execs Table 2'!D48,'execs Table 2'!F48,'execs Table 2'!H48,'execs Table 2'!J48,'execs Table 2'!L48)</f>
        <v>9.1999998316168782E-3</v>
      </c>
      <c r="M28" s="3">
        <f t="shared" si="12"/>
        <v>7.3684210526315713E-2</v>
      </c>
      <c r="N28" s="1">
        <f t="shared" si="4"/>
        <v>0</v>
      </c>
      <c r="O28" s="18">
        <f>AVERAGE('execs Table 2'!C20,'execs Table 2'!E20,'execs Table 2'!G20,'execs Table 2'!I20,'execs Table 2'!K20)</f>
        <v>19</v>
      </c>
      <c r="P28" s="18">
        <f>AVERAGE('execs Table 2'!D20,'execs Table 2'!F20,'execs Table 2'!H20,'execs Table 2'!J20,'execs Table 2'!L20)</f>
        <v>8.4000000730156902E-3</v>
      </c>
      <c r="Q28" s="3">
        <f t="shared" si="5"/>
        <v>0</v>
      </c>
      <c r="R28" s="1">
        <f t="shared" si="6"/>
        <v>1</v>
      </c>
      <c r="S28" s="18">
        <f>AVERAGE('execs Table 2'!C76,'execs Table 2'!E76,'execs Table 2'!G76,'execs Table 2'!I76,'execs Table 2'!K76)</f>
        <v>19.399999999999999</v>
      </c>
      <c r="T28" s="18">
        <f>AVERAGE('execs Table 2'!D76,'execs Table 2'!F76,'execs Table 2'!H76,'execs Table 2'!J76,'execs Table 2'!L76)</f>
        <v>6.3999999314546582E-3</v>
      </c>
      <c r="U28" s="3">
        <f t="shared" si="7"/>
        <v>2.1052631578947295E-2</v>
      </c>
      <c r="V28" s="1">
        <f t="shared" si="8"/>
        <v>0</v>
      </c>
      <c r="W28" s="18">
        <f>AVERAGE('execs Table 2'!C104,'execs Table 2'!E104,'execs Table 2'!G104,'execs Table 2'!I104,'execs Table 2'!K104)</f>
        <v>19</v>
      </c>
      <c r="X28" s="18">
        <f>AVERAGE('execs Table 2'!D104,'execs Table 2'!F104,'execs Table 2'!H104,'execs Table 2'!J104,'execs Table 2'!L104)</f>
        <v>8.6000002920627594E-3</v>
      </c>
      <c r="Y28" s="3">
        <f t="shared" si="9"/>
        <v>0</v>
      </c>
      <c r="Z28" s="1">
        <f t="shared" si="10"/>
        <v>1</v>
      </c>
      <c r="AG28" s="9"/>
      <c r="AH28" s="2"/>
      <c r="AK28" s="9"/>
      <c r="AL28" s="2"/>
      <c r="AO28" s="9"/>
      <c r="AP28" s="2"/>
      <c r="AR28" s="2">
        <f t="shared" si="11"/>
        <v>19</v>
      </c>
    </row>
    <row r="29" spans="2:44" ht="16" x14ac:dyDescent="0.2">
      <c r="B29" t="s">
        <v>23</v>
      </c>
      <c r="C29" s="18">
        <f>AVERAGE('execs Table 2'!C133,'execs Table 2'!E133,'execs Table 2'!G133,'execs Table 2'!I133,'execs Table 2'!K133)</f>
        <v>39</v>
      </c>
      <c r="D29" s="18">
        <f>AVERAGE('execs Table 2'!D133,'execs Table 2'!F133,'execs Table 2'!H133,'execs Table 2'!J133,'execs Table 2'!L133)</f>
        <v>3.2273999691009521</v>
      </c>
      <c r="E29" s="3">
        <f t="shared" si="2"/>
        <v>0</v>
      </c>
      <c r="F29" s="1">
        <f t="shared" si="3"/>
        <v>1</v>
      </c>
      <c r="G29" s="18">
        <f>AVERAGE('execs Table 2'!C161,'execs Table 2'!E161,'execs Table 2'!G161,'execs Table 2'!I161,'execs Table 2'!K161)</f>
        <v>39</v>
      </c>
      <c r="H29" s="18">
        <f>AVERAGE('execs Table 2'!D161,'execs Table 2'!F161,'execs Table 2'!H161,'execs Table 2'!J161,'execs Table 2'!L161)</f>
        <v>3.5358000755310059</v>
      </c>
      <c r="I29" s="3">
        <f t="shared" si="0"/>
        <v>0</v>
      </c>
      <c r="J29" s="1">
        <f t="shared" si="1"/>
        <v>1</v>
      </c>
      <c r="K29" s="18">
        <f>AVERAGE('execs Table 2'!C49,'execs Table 2'!E49,'execs Table 2'!G49,'execs Table 2'!I49,'execs Table 2'!K49)</f>
        <v>39</v>
      </c>
      <c r="L29" s="18">
        <f>AVERAGE('execs Table 2'!D49,'execs Table 2'!F49,'execs Table 2'!H49,'execs Table 2'!J49,'execs Table 2'!L49)</f>
        <v>155.75520324707031</v>
      </c>
      <c r="M29" s="3">
        <f t="shared" si="12"/>
        <v>0</v>
      </c>
      <c r="N29" s="1">
        <f t="shared" si="4"/>
        <v>1</v>
      </c>
      <c r="O29" s="18">
        <f>AVERAGE('execs Table 2'!C21,'execs Table 2'!E21,'execs Table 2'!G21,'execs Table 2'!I21,'execs Table 2'!K21)</f>
        <v>39</v>
      </c>
      <c r="P29" s="18">
        <f>AVERAGE('execs Table 2'!D21,'execs Table 2'!F21,'execs Table 2'!H21,'execs Table 2'!J21,'execs Table 2'!L21)</f>
        <v>3.2611999988555906</v>
      </c>
      <c r="Q29" s="3">
        <f t="shared" si="5"/>
        <v>0</v>
      </c>
      <c r="R29" s="1">
        <f t="shared" si="6"/>
        <v>1</v>
      </c>
      <c r="S29" s="18">
        <f>AVERAGE('execs Table 2'!C77,'execs Table 2'!E77,'execs Table 2'!G77,'execs Table 2'!I77,'execs Table 2'!K77)</f>
        <v>39</v>
      </c>
      <c r="T29" s="18">
        <f>AVERAGE('execs Table 2'!D77,'execs Table 2'!F77,'execs Table 2'!H77,'execs Table 2'!J77,'execs Table 2'!L77)</f>
        <v>3.0001999855041506</v>
      </c>
      <c r="U29" s="3">
        <f t="shared" si="7"/>
        <v>0</v>
      </c>
      <c r="V29" s="1">
        <f t="shared" si="8"/>
        <v>1</v>
      </c>
      <c r="W29" s="18">
        <f>AVERAGE('execs Table 2'!C105,'execs Table 2'!E105,'execs Table 2'!G105,'execs Table 2'!I105,'execs Table 2'!K105)</f>
        <v>39</v>
      </c>
      <c r="X29" s="18">
        <f>AVERAGE('execs Table 2'!D105,'execs Table 2'!F105,'execs Table 2'!H105,'execs Table 2'!J105,'execs Table 2'!L105)</f>
        <v>3.4651999473571777</v>
      </c>
      <c r="Y29" s="3">
        <f t="shared" si="9"/>
        <v>0</v>
      </c>
      <c r="Z29" s="1">
        <f t="shared" si="10"/>
        <v>1</v>
      </c>
      <c r="AG29" s="9"/>
      <c r="AH29" s="2"/>
      <c r="AK29" s="9"/>
      <c r="AL29" s="2"/>
      <c r="AO29" s="9"/>
      <c r="AP29" s="2"/>
      <c r="AR29" s="2">
        <f t="shared" si="11"/>
        <v>39</v>
      </c>
    </row>
    <row r="30" spans="2:44" ht="16" x14ac:dyDescent="0.2">
      <c r="B30" t="s">
        <v>24</v>
      </c>
      <c r="C30" s="18">
        <f>AVERAGE('execs Table 2'!C134,'execs Table 2'!E134,'execs Table 2'!G134,'execs Table 2'!I134,'execs Table 2'!K134)</f>
        <v>194.4</v>
      </c>
      <c r="D30" s="18">
        <f>AVERAGE('execs Table 2'!D134,'execs Table 2'!F134,'execs Table 2'!H134,'execs Table 2'!J134,'execs Table 2'!L134)</f>
        <v>1.2173999786376952</v>
      </c>
      <c r="E30" s="3">
        <f t="shared" si="2"/>
        <v>1.0395010395010394E-2</v>
      </c>
      <c r="F30" s="1">
        <f t="shared" si="3"/>
        <v>0</v>
      </c>
      <c r="G30" s="18">
        <f>AVERAGE('execs Table 2'!C162,'execs Table 2'!E162,'execs Table 2'!G162,'execs Table 2'!I162,'execs Table 2'!K162)</f>
        <v>193.2</v>
      </c>
      <c r="H30" s="18">
        <f>AVERAGE('execs Table 2'!D162,'execs Table 2'!F162,'execs Table 2'!H162,'execs Table 2'!J162,'execs Table 2'!L162)</f>
        <v>1.5130000114440918</v>
      </c>
      <c r="I30" s="3">
        <f t="shared" si="0"/>
        <v>4.1580041580040689E-3</v>
      </c>
      <c r="J30" s="1">
        <f t="shared" si="1"/>
        <v>0</v>
      </c>
      <c r="K30" s="18">
        <f>AVERAGE('execs Table 2'!C50,'execs Table 2'!E50,'execs Table 2'!G50,'execs Table 2'!I50,'execs Table 2'!K50)</f>
        <v>196.8</v>
      </c>
      <c r="L30" s="18">
        <f>AVERAGE('execs Table 2'!D50,'execs Table 2'!F50,'execs Table 2'!H50,'execs Table 2'!J50,'execs Table 2'!L50)</f>
        <v>6.226399993896484</v>
      </c>
      <c r="M30" s="3">
        <f t="shared" si="12"/>
        <v>2.2869022869022898E-2</v>
      </c>
      <c r="N30" s="1">
        <f t="shared" si="4"/>
        <v>0</v>
      </c>
      <c r="O30" s="18">
        <f>AVERAGE('execs Table 2'!C22,'execs Table 2'!E22,'execs Table 2'!G22,'execs Table 2'!I22,'execs Table 2'!K22)</f>
        <v>193.4</v>
      </c>
      <c r="P30" s="18">
        <f>AVERAGE('execs Table 2'!D22,'execs Table 2'!F22,'execs Table 2'!H22,'execs Table 2'!J22,'execs Table 2'!L22)</f>
        <v>1.0525999903678893</v>
      </c>
      <c r="Q30" s="3">
        <f t="shared" si="5"/>
        <v>5.1975051975051969E-3</v>
      </c>
      <c r="R30" s="1">
        <f t="shared" si="6"/>
        <v>0</v>
      </c>
      <c r="S30" s="18">
        <f>AVERAGE('execs Table 2'!C78,'execs Table 2'!E78,'execs Table 2'!G78,'execs Table 2'!I78,'execs Table 2'!K78)</f>
        <v>194.2</v>
      </c>
      <c r="T30" s="18">
        <f>AVERAGE('execs Table 2'!D78,'execs Table 2'!F78,'execs Table 2'!H78,'execs Table 2'!J78,'execs Table 2'!L78)</f>
        <v>1.0899999856948852</v>
      </c>
      <c r="U30" s="3">
        <f t="shared" si="7"/>
        <v>9.3555093555092658E-3</v>
      </c>
      <c r="V30" s="1">
        <f t="shared" si="8"/>
        <v>0</v>
      </c>
      <c r="W30" s="18">
        <f>AVERAGE('execs Table 2'!C106,'execs Table 2'!E106,'execs Table 2'!G106,'execs Table 2'!I106,'execs Table 2'!K106)</f>
        <v>192.4</v>
      </c>
      <c r="X30" s="18">
        <f>AVERAGE('execs Table 2'!D106,'execs Table 2'!F106,'execs Table 2'!H106,'execs Table 2'!J106,'execs Table 2'!L106)</f>
        <v>2.1904000520706175</v>
      </c>
      <c r="Y30" s="3">
        <f t="shared" si="9"/>
        <v>0</v>
      </c>
      <c r="Z30" s="1">
        <f t="shared" si="10"/>
        <v>1</v>
      </c>
      <c r="AG30" s="9"/>
      <c r="AH30" s="2"/>
      <c r="AK30" s="9"/>
      <c r="AL30" s="2"/>
      <c r="AO30" s="9"/>
      <c r="AP30" s="2"/>
      <c r="AR30" s="2">
        <f t="shared" si="11"/>
        <v>192.4</v>
      </c>
    </row>
    <row r="31" spans="2:44" ht="16" x14ac:dyDescent="0.2">
      <c r="B31" t="s">
        <v>25</v>
      </c>
      <c r="C31" s="18">
        <f>AVERAGE('execs Table 2'!C135,'execs Table 2'!E135,'execs Table 2'!G135,'execs Table 2'!I135,'execs Table 2'!K135)</f>
        <v>504.8</v>
      </c>
      <c r="D31" s="18">
        <f>AVERAGE('execs Table 2'!D135,'execs Table 2'!F135,'execs Table 2'!H135,'execs Table 2'!J135,'execs Table 2'!L135)</f>
        <v>6.5739999771118161</v>
      </c>
      <c r="E31" s="3">
        <f t="shared" si="2"/>
        <v>1.5873015873016099E-3</v>
      </c>
      <c r="F31" s="1">
        <f t="shared" si="3"/>
        <v>0</v>
      </c>
      <c r="G31" s="18">
        <f>AVERAGE('execs Table 2'!C163,'execs Table 2'!E163,'execs Table 2'!G163,'execs Table 2'!I163,'execs Table 2'!K163)</f>
        <v>509</v>
      </c>
      <c r="H31" s="18">
        <f>AVERAGE('execs Table 2'!D163,'execs Table 2'!F163,'execs Table 2'!H163,'execs Table 2'!J163,'execs Table 2'!L163)</f>
        <v>4.8092000007629396</v>
      </c>
      <c r="I31" s="3">
        <f t="shared" si="0"/>
        <v>9.9206349206349201E-3</v>
      </c>
      <c r="J31" s="1">
        <f t="shared" si="1"/>
        <v>0</v>
      </c>
      <c r="K31" s="18">
        <f>AVERAGE('execs Table 2'!C51,'execs Table 2'!E51,'execs Table 2'!G51,'execs Table 2'!I51,'execs Table 2'!K51)</f>
        <v>590.20000000000005</v>
      </c>
      <c r="L31" s="18">
        <f>AVERAGE('execs Table 2'!D51,'execs Table 2'!F51,'execs Table 2'!H51,'execs Table 2'!J51,'execs Table 2'!L51)</f>
        <v>36.760600280761722</v>
      </c>
      <c r="M31" s="3">
        <f t="shared" si="12"/>
        <v>0.17103174603174612</v>
      </c>
      <c r="N31" s="1">
        <f t="shared" si="4"/>
        <v>0</v>
      </c>
      <c r="O31" s="18">
        <f>AVERAGE('execs Table 2'!C23,'execs Table 2'!E23,'execs Table 2'!G23,'execs Table 2'!I23,'execs Table 2'!K23)</f>
        <v>519.4</v>
      </c>
      <c r="P31" s="18">
        <f>AVERAGE('execs Table 2'!D23,'execs Table 2'!F23,'execs Table 2'!H23,'execs Table 2'!J23,'execs Table 2'!L23)</f>
        <v>2.842799997329712</v>
      </c>
      <c r="Q31" s="3">
        <f t="shared" si="5"/>
        <v>3.0555555555555509E-2</v>
      </c>
      <c r="R31" s="1">
        <f t="shared" si="6"/>
        <v>0</v>
      </c>
      <c r="S31" s="18">
        <f>AVERAGE('execs Table 2'!C79,'execs Table 2'!E79,'execs Table 2'!G79,'execs Table 2'!I79,'execs Table 2'!K79)</f>
        <v>504</v>
      </c>
      <c r="T31" s="18">
        <f>AVERAGE('execs Table 2'!D79,'execs Table 2'!F79,'execs Table 2'!H79,'execs Table 2'!J79,'execs Table 2'!L79)</f>
        <v>3.4697999477386476</v>
      </c>
      <c r="U31" s="3">
        <f t="shared" si="7"/>
        <v>0</v>
      </c>
      <c r="V31" s="1">
        <f t="shared" si="8"/>
        <v>1</v>
      </c>
      <c r="W31" s="18">
        <f>AVERAGE('execs Table 2'!C107,'execs Table 2'!E107,'execs Table 2'!G107,'execs Table 2'!I107,'execs Table 2'!K107)</f>
        <v>520</v>
      </c>
      <c r="X31" s="18">
        <f>AVERAGE('execs Table 2'!D107,'execs Table 2'!F107,'execs Table 2'!H107,'execs Table 2'!J107,'execs Table 2'!L107)</f>
        <v>3.7937999248504637</v>
      </c>
      <c r="Y31" s="3">
        <f t="shared" si="9"/>
        <v>3.1746031746031744E-2</v>
      </c>
      <c r="Z31" s="1">
        <f t="shared" si="10"/>
        <v>0</v>
      </c>
      <c r="AB31" s="28"/>
      <c r="AC31" s="28"/>
      <c r="AD31" s="28"/>
      <c r="AG31" s="9"/>
      <c r="AH31" s="2"/>
      <c r="AK31" s="9"/>
      <c r="AL31" s="2"/>
      <c r="AO31" s="9"/>
      <c r="AP31" s="2"/>
      <c r="AR31" s="2">
        <f t="shared" si="11"/>
        <v>504</v>
      </c>
    </row>
    <row r="32" spans="2:44" ht="16" x14ac:dyDescent="0.2">
      <c r="B32" t="s">
        <v>26</v>
      </c>
      <c r="C32" s="18">
        <f>AVERAGE('execs Table 2'!C136,'execs Table 2'!E136,'execs Table 2'!G136,'execs Table 2'!I136,'execs Table 2'!K136)</f>
        <v>94</v>
      </c>
      <c r="D32" s="18">
        <f>AVERAGE('execs Table 2'!D136,'execs Table 2'!F136,'execs Table 2'!H136,'execs Table 2'!J136,'execs Table 2'!L136)</f>
        <v>0.13040000051259995</v>
      </c>
      <c r="E32" s="3">
        <f t="shared" si="2"/>
        <v>0</v>
      </c>
      <c r="F32" s="1">
        <f t="shared" si="3"/>
        <v>1</v>
      </c>
      <c r="G32" s="18">
        <f>AVERAGE('execs Table 2'!C164,'execs Table 2'!E164,'execs Table 2'!G164,'execs Table 2'!I164,'execs Table 2'!K164)</f>
        <v>94</v>
      </c>
      <c r="H32" s="18">
        <f>AVERAGE('execs Table 2'!D164,'execs Table 2'!F164,'execs Table 2'!H164,'execs Table 2'!J164,'execs Table 2'!L164)</f>
        <v>0.13180000185966492</v>
      </c>
      <c r="I32" s="3">
        <f t="shared" si="0"/>
        <v>0</v>
      </c>
      <c r="J32" s="1">
        <f t="shared" si="1"/>
        <v>1</v>
      </c>
      <c r="K32" s="18">
        <f>AVERAGE('execs Table 2'!C52,'execs Table 2'!E52,'execs Table 2'!G52,'execs Table 2'!I52,'execs Table 2'!K52)</f>
        <v>94</v>
      </c>
      <c r="L32" s="18">
        <f>AVERAGE('execs Table 2'!D52,'execs Table 2'!F52,'execs Table 2'!H52,'execs Table 2'!J52,'execs Table 2'!L52)</f>
        <v>0.20619999766349792</v>
      </c>
      <c r="M32" s="3">
        <f t="shared" si="12"/>
        <v>0</v>
      </c>
      <c r="N32" s="1">
        <f t="shared" si="4"/>
        <v>1</v>
      </c>
      <c r="O32" s="18">
        <f>AVERAGE('execs Table 2'!C24,'execs Table 2'!E24,'execs Table 2'!G24,'execs Table 2'!I24,'execs Table 2'!K24)</f>
        <v>94</v>
      </c>
      <c r="P32" s="18">
        <f>AVERAGE('execs Table 2'!D24,'execs Table 2'!F24,'execs Table 2'!H24,'execs Table 2'!J24,'execs Table 2'!L24)</f>
        <v>0.13480000197887421</v>
      </c>
      <c r="Q32" s="3">
        <f t="shared" si="5"/>
        <v>0</v>
      </c>
      <c r="R32" s="1">
        <f t="shared" si="6"/>
        <v>1</v>
      </c>
      <c r="S32" s="18">
        <f>AVERAGE('execs Table 2'!C80,'execs Table 2'!E80,'execs Table 2'!G80,'execs Table 2'!I80,'execs Table 2'!K80)</f>
        <v>94</v>
      </c>
      <c r="T32" s="18">
        <f>AVERAGE('execs Table 2'!D80,'execs Table 2'!F80,'execs Table 2'!H80,'execs Table 2'!J80,'execs Table 2'!L80)</f>
        <v>0.10039999932050706</v>
      </c>
      <c r="U32" s="3">
        <f t="shared" si="7"/>
        <v>0</v>
      </c>
      <c r="V32" s="1">
        <f t="shared" si="8"/>
        <v>1</v>
      </c>
      <c r="W32" s="18">
        <f>AVERAGE('execs Table 2'!C108,'execs Table 2'!E108,'execs Table 2'!G108,'execs Table 2'!I108,'execs Table 2'!K108)</f>
        <v>94</v>
      </c>
      <c r="X32" s="18">
        <f>AVERAGE('execs Table 2'!D108,'execs Table 2'!F108,'execs Table 2'!H108,'execs Table 2'!J108,'execs Table 2'!L108)</f>
        <v>0.16120000183582306</v>
      </c>
      <c r="Y32" s="3">
        <f t="shared" si="9"/>
        <v>0</v>
      </c>
      <c r="Z32" s="1">
        <f t="shared" si="10"/>
        <v>1</v>
      </c>
      <c r="AG32" s="9"/>
      <c r="AH32" s="2"/>
      <c r="AK32" s="9"/>
      <c r="AL32" s="2"/>
      <c r="AO32" s="9"/>
      <c r="AP32" s="2"/>
      <c r="AR32" s="2">
        <f t="shared" si="11"/>
        <v>94</v>
      </c>
    </row>
    <row r="33" spans="2:44" ht="16" x14ac:dyDescent="0.2">
      <c r="B33" t="s">
        <v>27</v>
      </c>
      <c r="C33" s="18">
        <f>AVERAGE('execs Table 2'!C137,'execs Table 2'!E137,'execs Table 2'!G137,'execs Table 2'!I137,'execs Table 2'!K137)</f>
        <v>135.80000000000001</v>
      </c>
      <c r="D33" s="18">
        <f>AVERAGE('execs Table 2'!D137,'execs Table 2'!F137,'execs Table 2'!H137,'execs Table 2'!J137,'execs Table 2'!L137)</f>
        <v>0.28559999763965604</v>
      </c>
      <c r="E33" s="3">
        <f t="shared" si="2"/>
        <v>5.9259259259260098E-3</v>
      </c>
      <c r="F33" s="1">
        <f t="shared" si="3"/>
        <v>0</v>
      </c>
      <c r="G33" s="18">
        <f>AVERAGE('execs Table 2'!C165,'execs Table 2'!E165,'execs Table 2'!G165,'execs Table 2'!I165,'execs Table 2'!K165)</f>
        <v>136.80000000000001</v>
      </c>
      <c r="H33" s="18">
        <f>AVERAGE('execs Table 2'!D165,'execs Table 2'!F165,'execs Table 2'!H165,'execs Table 2'!J165,'execs Table 2'!L165)</f>
        <v>0.26299999952316283</v>
      </c>
      <c r="I33" s="3">
        <f t="shared" si="0"/>
        <v>1.3333333333333417E-2</v>
      </c>
      <c r="J33" s="1">
        <f t="shared" si="1"/>
        <v>0</v>
      </c>
      <c r="K33" s="18">
        <f>AVERAGE('execs Table 2'!C53,'execs Table 2'!E53,'execs Table 2'!G53,'execs Table 2'!I53,'execs Table 2'!K53)</f>
        <v>147.4</v>
      </c>
      <c r="L33" s="18">
        <f>AVERAGE('execs Table 2'!D53,'execs Table 2'!F53,'execs Table 2'!H53,'execs Table 2'!J53,'execs Table 2'!L53)</f>
        <v>1.4390000104904175</v>
      </c>
      <c r="M33" s="3">
        <f t="shared" si="12"/>
        <v>9.1851851851851893E-2</v>
      </c>
      <c r="N33" s="1">
        <f t="shared" si="4"/>
        <v>0</v>
      </c>
      <c r="O33" s="18">
        <f>AVERAGE('execs Table 2'!C25,'execs Table 2'!E25,'execs Table 2'!G25,'execs Table 2'!I25,'execs Table 2'!K25)</f>
        <v>135</v>
      </c>
      <c r="P33" s="18">
        <f>AVERAGE('execs Table 2'!D25,'execs Table 2'!F25,'execs Table 2'!H25,'execs Table 2'!J25,'execs Table 2'!L25)</f>
        <v>0.26240000128746033</v>
      </c>
      <c r="Q33" s="3">
        <f t="shared" si="5"/>
        <v>0</v>
      </c>
      <c r="R33" s="1">
        <f t="shared" si="6"/>
        <v>1</v>
      </c>
      <c r="S33" s="18">
        <f>AVERAGE('execs Table 2'!C81,'execs Table 2'!E81,'execs Table 2'!G81,'execs Table 2'!I81,'execs Table 2'!K81)</f>
        <v>136.6</v>
      </c>
      <c r="T33" s="18">
        <f>AVERAGE('execs Table 2'!D81,'execs Table 2'!F81,'execs Table 2'!H81,'execs Table 2'!J81,'execs Table 2'!L81)</f>
        <v>0.20640000104904174</v>
      </c>
      <c r="U33" s="3">
        <f t="shared" si="7"/>
        <v>1.185185185185181E-2</v>
      </c>
      <c r="V33" s="1">
        <f t="shared" si="8"/>
        <v>0</v>
      </c>
      <c r="W33" s="18">
        <f>AVERAGE('execs Table 2'!C109,'execs Table 2'!E109,'execs Table 2'!G109,'execs Table 2'!I109,'execs Table 2'!K109)</f>
        <v>135.80000000000001</v>
      </c>
      <c r="X33" s="18">
        <f>AVERAGE('execs Table 2'!D109,'execs Table 2'!F109,'execs Table 2'!H109,'execs Table 2'!J109,'execs Table 2'!L109)</f>
        <v>0.34620000123977662</v>
      </c>
      <c r="Y33" s="3">
        <f t="shared" si="9"/>
        <v>5.9259259259260098E-3</v>
      </c>
      <c r="Z33" s="1">
        <f t="shared" si="10"/>
        <v>0</v>
      </c>
      <c r="AG33" s="9"/>
      <c r="AH33" s="2"/>
      <c r="AK33" s="9"/>
      <c r="AL33" s="2"/>
      <c r="AO33" s="9"/>
      <c r="AP33" s="2"/>
      <c r="AR33" s="2">
        <f t="shared" si="11"/>
        <v>135</v>
      </c>
    </row>
    <row r="34" spans="2:44" ht="16" x14ac:dyDescent="0.2">
      <c r="B34" t="s">
        <v>28</v>
      </c>
      <c r="C34" s="18">
        <f>AVERAGE('execs Table 2'!C138,'execs Table 2'!E138,'execs Table 2'!G138,'execs Table 2'!I138,'execs Table 2'!K138)</f>
        <v>35</v>
      </c>
      <c r="D34" s="18">
        <f>AVERAGE('execs Table 2'!D138,'execs Table 2'!F138,'execs Table 2'!H138,'execs Table 2'!J138,'execs Table 2'!L138)</f>
        <v>0.8317999958992004</v>
      </c>
      <c r="E34" s="3">
        <f t="shared" si="2"/>
        <v>0</v>
      </c>
      <c r="F34" s="1">
        <f t="shared" si="3"/>
        <v>1</v>
      </c>
      <c r="G34" s="18">
        <f>AVERAGE('execs Table 2'!C166,'execs Table 2'!E166,'execs Table 2'!G166,'execs Table 2'!I166,'execs Table 2'!K166)</f>
        <v>35</v>
      </c>
      <c r="H34" s="18">
        <f>AVERAGE('execs Table 2'!D166,'execs Table 2'!F166,'execs Table 2'!H166,'execs Table 2'!J166,'execs Table 2'!L166)</f>
        <v>0.92159999608993526</v>
      </c>
      <c r="I34" s="3">
        <f t="shared" si="0"/>
        <v>0</v>
      </c>
      <c r="J34" s="1">
        <f t="shared" si="1"/>
        <v>1</v>
      </c>
      <c r="K34" s="18">
        <f>AVERAGE('execs Table 2'!C54,'execs Table 2'!E54,'execs Table 2'!G54,'execs Table 2'!I54,'execs Table 2'!K54)</f>
        <v>38</v>
      </c>
      <c r="L34" s="18">
        <f>AVERAGE('execs Table 2'!D54,'execs Table 2'!F54,'execs Table 2'!H54,'execs Table 2'!J54,'execs Table 2'!L54)</f>
        <v>1.4363999843597413</v>
      </c>
      <c r="M34" s="3">
        <f t="shared" si="12"/>
        <v>8.5714285714285715E-2</v>
      </c>
      <c r="N34" s="1">
        <f t="shared" si="4"/>
        <v>0</v>
      </c>
      <c r="O34" s="18">
        <f>AVERAGE('execs Table 2'!C26,'execs Table 2'!E26,'execs Table 2'!G26,'execs Table 2'!I26,'execs Table 2'!K26)</f>
        <v>35.200000000000003</v>
      </c>
      <c r="P34" s="18">
        <f>AVERAGE('execs Table 2'!D26,'execs Table 2'!F26,'execs Table 2'!H26,'execs Table 2'!J26,'execs Table 2'!L26)</f>
        <v>0.77719999551773067</v>
      </c>
      <c r="Q34" s="3">
        <f t="shared" si="5"/>
        <v>5.7142857142857958E-3</v>
      </c>
      <c r="R34" s="1">
        <f t="shared" si="6"/>
        <v>0</v>
      </c>
      <c r="S34" s="18">
        <f>AVERAGE('execs Table 2'!C82,'execs Table 2'!E82,'execs Table 2'!G82,'execs Table 2'!I82,'execs Table 2'!K82)</f>
        <v>35.200000000000003</v>
      </c>
      <c r="T34" s="18">
        <f>AVERAGE('execs Table 2'!D82,'execs Table 2'!F82,'execs Table 2'!H82,'execs Table 2'!J82,'execs Table 2'!L82)</f>
        <v>0.64960000514984129</v>
      </c>
      <c r="U34" s="3">
        <f t="shared" si="7"/>
        <v>5.7142857142857958E-3</v>
      </c>
      <c r="V34" s="1">
        <f t="shared" si="8"/>
        <v>0</v>
      </c>
      <c r="W34" s="18">
        <f>AVERAGE('execs Table 2'!C110,'execs Table 2'!E110,'execs Table 2'!G110,'execs Table 2'!I110,'execs Table 2'!K110)</f>
        <v>35</v>
      </c>
      <c r="X34" s="18">
        <f>AVERAGE('execs Table 2'!D110,'execs Table 2'!F110,'execs Table 2'!H110,'execs Table 2'!J110,'execs Table 2'!L110)</f>
        <v>1.0125999808311463</v>
      </c>
      <c r="Y34" s="3">
        <f t="shared" si="9"/>
        <v>0</v>
      </c>
      <c r="Z34" s="1">
        <f t="shared" si="10"/>
        <v>1</v>
      </c>
      <c r="AG34" s="9"/>
      <c r="AH34" s="2"/>
      <c r="AK34" s="9"/>
      <c r="AL34" s="2"/>
      <c r="AO34" s="9"/>
      <c r="AP34" s="2"/>
      <c r="AR34" s="2">
        <f t="shared" si="11"/>
        <v>35</v>
      </c>
    </row>
    <row r="35" spans="2:44" ht="16" x14ac:dyDescent="0.2">
      <c r="B35" t="s">
        <v>29</v>
      </c>
      <c r="C35" s="18">
        <f>AVERAGE('execs Table 2'!C139,'execs Table 2'!E139,'execs Table 2'!G139,'execs Table 2'!I139,'execs Table 2'!K139)</f>
        <v>61.8</v>
      </c>
      <c r="D35" s="18">
        <f>AVERAGE('execs Table 2'!D139,'execs Table 2'!F139,'execs Table 2'!H139,'execs Table 2'!J139,'execs Table 2'!L139)</f>
        <v>4.7000000625848769E-2</v>
      </c>
      <c r="E35" s="3">
        <f t="shared" si="2"/>
        <v>3.2467532467531776E-3</v>
      </c>
      <c r="F35" s="1">
        <f t="shared" si="3"/>
        <v>0</v>
      </c>
      <c r="G35" s="18">
        <f>AVERAGE('execs Table 2'!C167,'execs Table 2'!E167,'execs Table 2'!G167,'execs Table 2'!I167,'execs Table 2'!K167)</f>
        <v>62.8</v>
      </c>
      <c r="H35" s="18">
        <f>AVERAGE('execs Table 2'!D167,'execs Table 2'!F167,'execs Table 2'!H167,'execs Table 2'!J167,'execs Table 2'!L167)</f>
        <v>3.9199999719858172E-2</v>
      </c>
      <c r="I35" s="3">
        <f t="shared" si="0"/>
        <v>1.9480519480519411E-2</v>
      </c>
      <c r="J35" s="1">
        <f t="shared" si="1"/>
        <v>0</v>
      </c>
      <c r="K35" s="18">
        <f>AVERAGE('execs Table 2'!C55,'execs Table 2'!E55,'execs Table 2'!G55,'execs Table 2'!I55,'execs Table 2'!K55)</f>
        <v>68.2</v>
      </c>
      <c r="L35" s="18">
        <f>AVERAGE('execs Table 2'!D55,'execs Table 2'!F55,'execs Table 2'!H55,'execs Table 2'!J55,'execs Table 2'!L55)</f>
        <v>0.16680000126361846</v>
      </c>
      <c r="M35" s="3">
        <f t="shared" si="12"/>
        <v>0.10714285714285716</v>
      </c>
      <c r="N35" s="1">
        <f t="shared" si="4"/>
        <v>0</v>
      </c>
      <c r="O35" s="18">
        <f>AVERAGE('execs Table 2'!C27,'execs Table 2'!E27,'execs Table 2'!G27,'execs Table 2'!I27,'execs Table 2'!K27)</f>
        <v>61.8</v>
      </c>
      <c r="P35" s="18">
        <f>AVERAGE('execs Table 2'!D27,'execs Table 2'!F27,'execs Table 2'!H27,'execs Table 2'!J27,'execs Table 2'!L27)</f>
        <v>3.7600000202655789E-2</v>
      </c>
      <c r="Q35" s="3">
        <f t="shared" si="5"/>
        <v>3.2467532467531776E-3</v>
      </c>
      <c r="R35" s="1">
        <f t="shared" si="6"/>
        <v>0</v>
      </c>
      <c r="S35" s="18">
        <f>AVERAGE('execs Table 2'!C83,'execs Table 2'!E83,'execs Table 2'!G83,'execs Table 2'!I83,'execs Table 2'!K83)</f>
        <v>64.2</v>
      </c>
      <c r="T35" s="18">
        <f>AVERAGE('execs Table 2'!D83,'execs Table 2'!F83,'execs Table 2'!H83,'execs Table 2'!J83,'execs Table 2'!L83)</f>
        <v>2.3400000110268594E-2</v>
      </c>
      <c r="U35" s="3">
        <f t="shared" si="7"/>
        <v>4.2207792207792229E-2</v>
      </c>
      <c r="V35" s="1">
        <f t="shared" si="8"/>
        <v>0</v>
      </c>
      <c r="W35" s="18">
        <f>AVERAGE('execs Table 2'!C111,'execs Table 2'!E111,'execs Table 2'!G111,'execs Table 2'!I111,'execs Table 2'!K111)</f>
        <v>61.6</v>
      </c>
      <c r="X35" s="18">
        <f>AVERAGE('execs Table 2'!D111,'execs Table 2'!F111,'execs Table 2'!H111,'execs Table 2'!J111,'execs Table 2'!L111)</f>
        <v>5.1999999582767485E-2</v>
      </c>
      <c r="Y35" s="3">
        <f t="shared" si="9"/>
        <v>0</v>
      </c>
      <c r="Z35" s="1">
        <f t="shared" si="10"/>
        <v>1</v>
      </c>
      <c r="AG35" s="9"/>
      <c r="AH35" s="2"/>
      <c r="AK35" s="9"/>
      <c r="AL35" s="2"/>
      <c r="AO35" s="9"/>
      <c r="AP35" s="2"/>
      <c r="AR35" s="2">
        <f t="shared" si="11"/>
        <v>61.6</v>
      </c>
    </row>
    <row r="36" spans="2:44" ht="16" x14ac:dyDescent="0.2">
      <c r="B36" t="s">
        <v>30</v>
      </c>
      <c r="C36" s="18">
        <f>AVERAGE('execs Table 2'!C140,'execs Table 2'!E140,'execs Table 2'!G140,'execs Table 2'!I140,'execs Table 2'!K140)</f>
        <v>11.2</v>
      </c>
      <c r="D36" s="18">
        <f>AVERAGE('execs Table 2'!D140,'execs Table 2'!F140,'execs Table 2'!H140,'execs Table 2'!J140,'execs Table 2'!L140)</f>
        <v>2.3600000143051147E-2</v>
      </c>
      <c r="E36" s="3">
        <f t="shared" si="2"/>
        <v>1.8181818181818118E-2</v>
      </c>
      <c r="F36" s="1">
        <f t="shared" si="3"/>
        <v>0</v>
      </c>
      <c r="G36" s="18">
        <f>AVERAGE('execs Table 2'!C168,'execs Table 2'!E168,'execs Table 2'!G168,'execs Table 2'!I168,'execs Table 2'!K168)</f>
        <v>11</v>
      </c>
      <c r="H36" s="18">
        <f>AVERAGE('execs Table 2'!D168,'execs Table 2'!F168,'execs Table 2'!H168,'execs Table 2'!J168,'execs Table 2'!L168)</f>
        <v>2.1599999815225601E-2</v>
      </c>
      <c r="I36" s="3">
        <f t="shared" si="0"/>
        <v>0</v>
      </c>
      <c r="J36" s="1">
        <f t="shared" si="1"/>
        <v>1</v>
      </c>
      <c r="K36" s="18">
        <f>AVERAGE('execs Table 2'!C56,'execs Table 2'!E56,'execs Table 2'!G56,'execs Table 2'!I56,'execs Table 2'!K56)</f>
        <v>15</v>
      </c>
      <c r="L36" s="18">
        <f>AVERAGE('execs Table 2'!D56,'execs Table 2'!F56,'execs Table 2'!H56,'execs Table 2'!J56,'execs Table 2'!L56)</f>
        <v>1.400000024586916E-2</v>
      </c>
      <c r="M36" s="3">
        <f t="shared" si="12"/>
        <v>0.36363636363636365</v>
      </c>
      <c r="N36" s="1">
        <f t="shared" si="4"/>
        <v>0</v>
      </c>
      <c r="O36" s="18">
        <f>AVERAGE('execs Table 2'!C28,'execs Table 2'!E28,'execs Table 2'!G28,'execs Table 2'!I28,'execs Table 2'!K28)</f>
        <v>11</v>
      </c>
      <c r="P36" s="18">
        <f>AVERAGE('execs Table 2'!D28,'execs Table 2'!F28,'execs Table 2'!H28,'execs Table 2'!J28,'execs Table 2'!L28)</f>
        <v>2.280000001192093E-2</v>
      </c>
      <c r="Q36" s="3">
        <f t="shared" si="5"/>
        <v>0</v>
      </c>
      <c r="R36" s="1">
        <f t="shared" si="6"/>
        <v>1</v>
      </c>
      <c r="S36" s="18">
        <f>AVERAGE('execs Table 2'!C84,'execs Table 2'!E84,'execs Table 2'!G84,'execs Table 2'!I84,'execs Table 2'!K84)</f>
        <v>11</v>
      </c>
      <c r="T36" s="18">
        <f>AVERAGE('execs Table 2'!D84,'execs Table 2'!F84,'execs Table 2'!H84,'execs Table 2'!J84,'execs Table 2'!L84)</f>
        <v>1.8799999356269838E-2</v>
      </c>
      <c r="U36" s="3">
        <f t="shared" si="7"/>
        <v>0</v>
      </c>
      <c r="V36" s="1">
        <f t="shared" si="8"/>
        <v>1</v>
      </c>
      <c r="W36" s="18">
        <f>AVERAGE('execs Table 2'!C112,'execs Table 2'!E112,'execs Table 2'!G112,'execs Table 2'!I112,'execs Table 2'!K112)</f>
        <v>11</v>
      </c>
      <c r="X36" s="18">
        <f>AVERAGE('execs Table 2'!D112,'execs Table 2'!F112,'execs Table 2'!H112,'execs Table 2'!J112,'execs Table 2'!L112)</f>
        <v>2.0999999716877937E-2</v>
      </c>
      <c r="Y36" s="3">
        <f t="shared" si="9"/>
        <v>0</v>
      </c>
      <c r="Z36" s="1">
        <f t="shared" si="10"/>
        <v>1</v>
      </c>
      <c r="AG36" s="9"/>
      <c r="AH36" s="2"/>
      <c r="AK36" s="9"/>
      <c r="AL36" s="2"/>
      <c r="AO36" s="9"/>
      <c r="AP36" s="2"/>
      <c r="AR36" s="2">
        <f t="shared" si="11"/>
        <v>11</v>
      </c>
    </row>
    <row r="37" spans="2:44" ht="16" x14ac:dyDescent="0.2">
      <c r="B37" t="s">
        <v>32</v>
      </c>
      <c r="C37" s="18">
        <f>AVERAGE('execs Table 2'!C141,'execs Table 2'!E141,'execs Table 2'!G141,'execs Table 2'!I141,'execs Table 2'!K141)</f>
        <v>93.4</v>
      </c>
      <c r="D37" s="18">
        <f>AVERAGE('execs Table 2'!D141,'execs Table 2'!F141,'execs Table 2'!H141,'execs Table 2'!J141,'execs Table 2'!L141)</f>
        <v>0.32080000340938569</v>
      </c>
      <c r="E37" s="3">
        <f t="shared" si="2"/>
        <v>8.6393088552917004E-3</v>
      </c>
      <c r="F37" s="1">
        <f t="shared" si="3"/>
        <v>0</v>
      </c>
      <c r="G37" s="18">
        <f>AVERAGE('execs Table 2'!C169,'execs Table 2'!E169,'execs Table 2'!G169,'execs Table 2'!I169,'execs Table 2'!K169)</f>
        <v>94.6</v>
      </c>
      <c r="H37" s="18">
        <f>AVERAGE('execs Table 2'!D169,'execs Table 2'!F169,'execs Table 2'!H169,'execs Table 2'!J169,'execs Table 2'!L169)</f>
        <v>0.28120000362396241</v>
      </c>
      <c r="I37" s="3">
        <f t="shared" si="0"/>
        <v>2.1598272138228944E-2</v>
      </c>
      <c r="J37" s="1">
        <f t="shared" si="1"/>
        <v>0</v>
      </c>
      <c r="K37" s="18">
        <f>AVERAGE('execs Table 2'!C57,'execs Table 2'!E57,'execs Table 2'!G57,'execs Table 2'!I57,'execs Table 2'!K57)</f>
        <v>99.8</v>
      </c>
      <c r="L37" s="18">
        <f>AVERAGE('execs Table 2'!D57,'execs Table 2'!F57,'execs Table 2'!H57,'execs Table 2'!J57,'execs Table 2'!L57)</f>
        <v>1.3361999988555908</v>
      </c>
      <c r="M37" s="3">
        <f t="shared" si="12"/>
        <v>7.7753779697624231E-2</v>
      </c>
      <c r="N37" s="1">
        <f t="shared" si="4"/>
        <v>0</v>
      </c>
      <c r="O37" s="18">
        <f>AVERAGE('execs Table 2'!C29,'execs Table 2'!E29,'execs Table 2'!G29,'execs Table 2'!I29,'execs Table 2'!K29)</f>
        <v>92.8</v>
      </c>
      <c r="P37" s="18">
        <f>AVERAGE('execs Table 2'!D29,'execs Table 2'!F29,'execs Table 2'!H29,'execs Table 2'!J29,'execs Table 2'!L29)</f>
        <v>0.30379999577999117</v>
      </c>
      <c r="Q37" s="3">
        <f t="shared" si="5"/>
        <v>2.1598272138229251E-3</v>
      </c>
      <c r="R37" s="1">
        <f t="shared" si="6"/>
        <v>0</v>
      </c>
      <c r="S37" s="18">
        <f>AVERAGE('execs Table 2'!C85,'execs Table 2'!E85,'execs Table 2'!G85,'execs Table 2'!I85,'execs Table 2'!K85)</f>
        <v>94</v>
      </c>
      <c r="T37" s="18">
        <f>AVERAGE('execs Table 2'!D85,'execs Table 2'!F85,'execs Table 2'!H85,'execs Table 2'!J85,'execs Table 2'!L85)</f>
        <v>0.27619999647140503</v>
      </c>
      <c r="U37" s="3">
        <f t="shared" si="7"/>
        <v>1.5118790496760322E-2</v>
      </c>
      <c r="V37" s="1">
        <f t="shared" si="8"/>
        <v>0</v>
      </c>
      <c r="W37" s="18">
        <f>AVERAGE('execs Table 2'!C113,'execs Table 2'!E113,'execs Table 2'!G113,'execs Table 2'!I113,'execs Table 2'!K113)</f>
        <v>92.6</v>
      </c>
      <c r="X37" s="18">
        <f>AVERAGE('execs Table 2'!D113,'execs Table 2'!F113,'execs Table 2'!H113,'execs Table 2'!J113,'execs Table 2'!L113)</f>
        <v>0.30220000445842743</v>
      </c>
      <c r="Y37" s="3">
        <f t="shared" si="9"/>
        <v>0</v>
      </c>
      <c r="Z37" s="1">
        <f t="shared" si="10"/>
        <v>1</v>
      </c>
      <c r="AG37" s="9"/>
      <c r="AH37" s="2"/>
      <c r="AK37" s="9"/>
      <c r="AL37" s="2"/>
      <c r="AO37" s="9"/>
      <c r="AP37" s="2"/>
      <c r="AR37" s="2">
        <f t="shared" si="11"/>
        <v>92.6</v>
      </c>
    </row>
    <row r="38" spans="2:44" ht="16" x14ac:dyDescent="0.2">
      <c r="B38" s="18"/>
      <c r="C38" s="18"/>
      <c r="D38" s="37"/>
      <c r="E38" s="3"/>
      <c r="F38" s="1"/>
      <c r="G38" s="18"/>
      <c r="H38" s="37"/>
      <c r="I38" s="3"/>
      <c r="J38" s="1"/>
      <c r="K38" s="18"/>
      <c r="L38" s="37"/>
      <c r="M38" s="3"/>
      <c r="N38" s="1"/>
      <c r="O38" s="18"/>
      <c r="P38" s="18"/>
      <c r="Q38" s="3"/>
      <c r="R38" s="1"/>
      <c r="S38" s="18"/>
      <c r="T38" s="18"/>
      <c r="U38" s="3"/>
      <c r="V38" s="1"/>
      <c r="W38" s="18"/>
      <c r="X38" s="18"/>
      <c r="Y38" s="3"/>
      <c r="Z38" s="1"/>
      <c r="AR38" s="2"/>
    </row>
    <row r="39" spans="2:44" ht="16" x14ac:dyDescent="0.2">
      <c r="B39" s="18"/>
      <c r="C39" s="18"/>
      <c r="D39" s="37"/>
      <c r="E39" s="3"/>
      <c r="F39" s="1"/>
      <c r="G39" s="18"/>
      <c r="H39" s="37"/>
      <c r="I39" s="3"/>
      <c r="J39" s="1"/>
      <c r="K39" s="18"/>
      <c r="L39" s="37"/>
      <c r="M39" s="3"/>
      <c r="N39" s="1"/>
      <c r="O39" s="18"/>
      <c r="P39" s="18"/>
      <c r="Q39" s="3"/>
      <c r="R39" s="1"/>
      <c r="S39" s="18"/>
      <c r="T39" s="18"/>
      <c r="U39" s="3"/>
      <c r="V39" s="1"/>
      <c r="W39" s="18"/>
      <c r="X39" s="18"/>
      <c r="Y39" s="3"/>
      <c r="Z39" s="1"/>
      <c r="AR39" s="2"/>
    </row>
    <row r="40" spans="2:44" ht="16" x14ac:dyDescent="0.2">
      <c r="B40" s="18"/>
      <c r="C40" s="18"/>
      <c r="D40" s="37"/>
      <c r="E40" s="3"/>
      <c r="F40" s="1"/>
      <c r="G40" s="18"/>
      <c r="H40" s="37"/>
      <c r="I40" s="3"/>
      <c r="J40" s="1"/>
      <c r="K40" s="18"/>
      <c r="L40" s="37"/>
      <c r="M40" s="3"/>
      <c r="N40" s="1"/>
      <c r="O40" s="18"/>
      <c r="P40" s="18"/>
      <c r="Q40" s="3"/>
      <c r="R40" s="1"/>
      <c r="S40" s="18"/>
      <c r="T40" s="18"/>
      <c r="U40" s="3"/>
      <c r="V40" s="1"/>
      <c r="W40" s="18"/>
      <c r="X40" s="18"/>
      <c r="Y40" s="3"/>
      <c r="Z40" s="1"/>
      <c r="AR40" s="2"/>
    </row>
    <row r="41" spans="2:44" ht="16" x14ac:dyDescent="0.2">
      <c r="B41" s="18"/>
      <c r="C41" s="18"/>
      <c r="D41" s="37"/>
      <c r="E41" s="3"/>
      <c r="F41" s="1"/>
      <c r="G41" s="18"/>
      <c r="H41" s="37"/>
      <c r="I41" s="3"/>
      <c r="J41" s="1"/>
      <c r="K41" s="18"/>
      <c r="L41" s="37"/>
      <c r="M41" s="3"/>
      <c r="N41" s="1"/>
      <c r="O41" s="18"/>
      <c r="P41" s="18"/>
      <c r="Q41" s="3"/>
      <c r="R41" s="1"/>
      <c r="S41" s="18"/>
      <c r="T41" s="18"/>
      <c r="U41" s="3"/>
      <c r="V41" s="1"/>
      <c r="W41" s="18"/>
      <c r="X41" s="18"/>
      <c r="Y41" s="3"/>
      <c r="Z41" s="1"/>
      <c r="AR41" s="2"/>
    </row>
    <row r="42" spans="2:44" ht="16" x14ac:dyDescent="0.2">
      <c r="B42" s="18"/>
      <c r="C42" s="18"/>
      <c r="D42" s="37"/>
      <c r="E42" s="3"/>
      <c r="F42" s="1"/>
      <c r="G42" s="18"/>
      <c r="H42" s="37"/>
      <c r="I42" s="3"/>
      <c r="J42" s="1"/>
      <c r="K42" s="18"/>
      <c r="L42" s="37"/>
      <c r="M42" s="3"/>
      <c r="N42" s="1"/>
      <c r="O42" s="18"/>
      <c r="P42" s="18"/>
      <c r="Q42" s="3"/>
      <c r="R42" s="1"/>
      <c r="S42" s="18"/>
      <c r="T42" s="18"/>
      <c r="U42" s="3"/>
      <c r="V42" s="1"/>
      <c r="W42" s="18"/>
      <c r="X42" s="18"/>
      <c r="Y42" s="3"/>
      <c r="Z42" s="1"/>
      <c r="AR42" s="2"/>
    </row>
    <row r="43" spans="2:44" ht="16" x14ac:dyDescent="0.2">
      <c r="B43" s="18"/>
      <c r="C43" s="18"/>
      <c r="D43" s="37"/>
      <c r="E43" s="3"/>
      <c r="F43" s="1"/>
      <c r="G43" s="18"/>
      <c r="H43" s="37"/>
      <c r="I43" s="3"/>
      <c r="J43" s="1"/>
      <c r="K43" s="18"/>
      <c r="L43" s="37"/>
      <c r="M43" s="3"/>
      <c r="N43" s="1"/>
      <c r="O43" s="18"/>
      <c r="P43" s="18"/>
      <c r="Q43" s="3"/>
      <c r="R43" s="1"/>
      <c r="S43" s="18"/>
      <c r="T43" s="18"/>
      <c r="U43" s="3"/>
      <c r="V43" s="1"/>
      <c r="W43" s="18"/>
      <c r="X43" s="18"/>
      <c r="Y43" s="3"/>
      <c r="Z43" s="1"/>
      <c r="AR43" s="2"/>
    </row>
    <row r="44" spans="2:44" ht="16" x14ac:dyDescent="0.2">
      <c r="B44" s="18"/>
      <c r="C44" s="18"/>
      <c r="D44" s="37"/>
      <c r="E44" s="3"/>
      <c r="F44" s="1"/>
      <c r="G44" s="18"/>
      <c r="H44" s="37"/>
      <c r="I44" s="3"/>
      <c r="J44" s="1"/>
      <c r="K44" s="18"/>
      <c r="L44" s="37"/>
      <c r="M44" s="3"/>
      <c r="N44" s="1"/>
      <c r="O44" s="18"/>
      <c r="P44" s="18"/>
      <c r="Q44" s="3"/>
      <c r="R44" s="1"/>
      <c r="S44" s="18"/>
      <c r="T44" s="18"/>
      <c r="U44" s="3"/>
      <c r="V44" s="1"/>
      <c r="W44" s="18"/>
      <c r="X44" s="18"/>
      <c r="Y44" s="3"/>
      <c r="Z44" s="1"/>
      <c r="AR44" s="2"/>
    </row>
    <row r="45" spans="2:44" ht="16" x14ac:dyDescent="0.2">
      <c r="B45" s="18"/>
      <c r="C45" s="18"/>
      <c r="D45" s="37"/>
      <c r="E45" s="3"/>
      <c r="F45" s="1"/>
      <c r="G45" s="18"/>
      <c r="H45" s="37"/>
      <c r="I45" s="3"/>
      <c r="J45" s="1"/>
      <c r="K45" s="18"/>
      <c r="L45" s="37"/>
      <c r="M45" s="3"/>
      <c r="N45" s="1"/>
      <c r="O45" s="18"/>
      <c r="P45" s="18"/>
      <c r="Q45" s="3"/>
      <c r="R45" s="1"/>
      <c r="S45" s="18"/>
      <c r="T45" s="18"/>
      <c r="U45" s="3"/>
      <c r="V45" s="1"/>
      <c r="W45" s="18"/>
      <c r="X45" s="18"/>
      <c r="Y45" s="3"/>
      <c r="Z45" s="1"/>
      <c r="AR45" s="2"/>
    </row>
    <row r="46" spans="2:44" ht="16" x14ac:dyDescent="0.2">
      <c r="B46" s="18"/>
      <c r="C46" s="18"/>
      <c r="D46" s="37"/>
      <c r="E46" s="3"/>
      <c r="F46" s="1"/>
      <c r="G46" s="18"/>
      <c r="H46" s="37"/>
      <c r="I46" s="3"/>
      <c r="J46" s="1"/>
      <c r="K46" s="18"/>
      <c r="L46" s="37"/>
      <c r="M46" s="3"/>
      <c r="N46" s="1"/>
      <c r="O46" s="18"/>
      <c r="P46" s="18"/>
      <c r="Q46" s="3"/>
      <c r="R46" s="1"/>
      <c r="S46" s="18"/>
      <c r="T46" s="18"/>
      <c r="U46" s="3"/>
      <c r="V46" s="1"/>
      <c r="W46" s="18"/>
      <c r="X46" s="18"/>
      <c r="Y46" s="3"/>
      <c r="Z46" s="1"/>
      <c r="AR46" s="2"/>
    </row>
    <row r="47" spans="2:44" ht="16" x14ac:dyDescent="0.2">
      <c r="B47" s="18"/>
      <c r="C47" s="18"/>
      <c r="D47" s="37"/>
      <c r="E47" s="3"/>
      <c r="F47" s="1"/>
      <c r="G47" s="18"/>
      <c r="H47" s="37"/>
      <c r="I47" s="3"/>
      <c r="J47" s="1"/>
      <c r="K47" s="18"/>
      <c r="L47" s="37"/>
      <c r="M47" s="3"/>
      <c r="N47" s="1"/>
      <c r="O47" s="18"/>
      <c r="P47" s="18"/>
      <c r="Q47" s="3"/>
      <c r="R47" s="1"/>
      <c r="S47" s="18"/>
      <c r="T47" s="18"/>
      <c r="U47" s="3"/>
      <c r="V47" s="1"/>
      <c r="W47" s="18"/>
      <c r="X47" s="18"/>
      <c r="Y47" s="3"/>
      <c r="Z47" s="1"/>
      <c r="AR47" s="2"/>
    </row>
    <row r="48" spans="2:44" ht="16" x14ac:dyDescent="0.2">
      <c r="B48" s="18"/>
      <c r="C48" s="18"/>
      <c r="D48" s="37"/>
      <c r="E48" s="3"/>
      <c r="F48" s="1"/>
      <c r="G48" s="18"/>
      <c r="H48" s="37"/>
      <c r="I48" s="3"/>
      <c r="J48" s="1"/>
      <c r="K48" s="18"/>
      <c r="L48" s="37"/>
      <c r="M48" s="3"/>
      <c r="N48" s="1"/>
      <c r="O48" s="18"/>
      <c r="P48" s="18"/>
      <c r="Q48" s="3"/>
      <c r="R48" s="1"/>
      <c r="S48" s="18"/>
      <c r="T48" s="18"/>
      <c r="U48" s="3"/>
      <c r="V48" s="1"/>
      <c r="W48" s="18"/>
      <c r="X48" s="18"/>
      <c r="Y48" s="3"/>
      <c r="Z48" s="1"/>
      <c r="AR48" s="2"/>
    </row>
    <row r="49" spans="2:44" ht="16" x14ac:dyDescent="0.2">
      <c r="B49" s="18"/>
      <c r="C49" s="18"/>
      <c r="D49" s="37"/>
      <c r="E49" s="3"/>
      <c r="F49" s="1"/>
      <c r="G49" s="18"/>
      <c r="H49" s="37"/>
      <c r="I49" s="3"/>
      <c r="J49" s="1"/>
      <c r="K49" s="18"/>
      <c r="L49" s="37"/>
      <c r="M49" s="3"/>
      <c r="N49" s="1"/>
      <c r="O49" s="18"/>
      <c r="P49" s="18"/>
      <c r="Q49" s="3"/>
      <c r="R49" s="1"/>
      <c r="S49" s="18"/>
      <c r="T49" s="18"/>
      <c r="U49" s="3"/>
      <c r="V49" s="1"/>
      <c r="W49" s="18"/>
      <c r="X49" s="18"/>
      <c r="Y49" s="3"/>
      <c r="Z49" s="1"/>
      <c r="AR49" s="2"/>
    </row>
    <row r="50" spans="2:44" ht="16" x14ac:dyDescent="0.2">
      <c r="B50" s="18"/>
      <c r="C50" s="18"/>
      <c r="D50" s="37"/>
      <c r="E50" s="3"/>
      <c r="F50" s="1"/>
      <c r="G50" s="18"/>
      <c r="H50" s="37"/>
      <c r="I50" s="3"/>
      <c r="J50" s="1"/>
      <c r="K50" s="18"/>
      <c r="L50" s="37"/>
      <c r="M50" s="3"/>
      <c r="N50" s="1"/>
      <c r="O50" s="18"/>
      <c r="P50" s="18"/>
      <c r="Q50" s="3"/>
      <c r="R50" s="1"/>
      <c r="S50" s="18"/>
      <c r="T50" s="18"/>
      <c r="U50" s="3"/>
      <c r="V50" s="1"/>
      <c r="W50" s="18"/>
      <c r="X50" s="18"/>
      <c r="Y50" s="3"/>
      <c r="Z50" s="1"/>
      <c r="AR50" s="2"/>
    </row>
    <row r="51" spans="2:44" ht="16" x14ac:dyDescent="0.2">
      <c r="B51" s="18"/>
      <c r="C51" s="18"/>
      <c r="D51" s="37"/>
      <c r="E51" s="3"/>
      <c r="F51" s="1"/>
      <c r="G51" s="18"/>
      <c r="H51" s="37"/>
      <c r="I51" s="3"/>
      <c r="J51" s="1"/>
      <c r="K51" s="18"/>
      <c r="L51" s="37"/>
      <c r="M51" s="3"/>
      <c r="N51" s="1"/>
      <c r="O51" s="18"/>
      <c r="P51" s="18"/>
      <c r="Q51" s="3"/>
      <c r="R51" s="1"/>
      <c r="S51" s="18"/>
      <c r="T51" s="18"/>
      <c r="U51" s="3"/>
      <c r="V51" s="1"/>
      <c r="W51" s="18"/>
      <c r="X51" s="18"/>
      <c r="Y51" s="3"/>
      <c r="Z51" s="1"/>
      <c r="AR51" s="2"/>
    </row>
    <row r="52" spans="2:44" ht="16" x14ac:dyDescent="0.2">
      <c r="B52" s="18"/>
      <c r="C52" s="18"/>
      <c r="D52" s="37"/>
      <c r="E52" s="3"/>
      <c r="F52" s="1"/>
      <c r="G52" s="18"/>
      <c r="H52" s="37"/>
      <c r="I52" s="3"/>
      <c r="J52" s="1"/>
      <c r="K52" s="18"/>
      <c r="L52" s="37"/>
      <c r="M52" s="3"/>
      <c r="N52" s="1"/>
      <c r="O52" s="18"/>
      <c r="P52" s="18"/>
      <c r="Q52" s="3"/>
      <c r="R52" s="1"/>
      <c r="S52" s="18"/>
      <c r="T52" s="18"/>
      <c r="U52" s="3"/>
      <c r="V52" s="1"/>
      <c r="W52" s="18"/>
      <c r="X52" s="18"/>
      <c r="Y52" s="3"/>
      <c r="Z52" s="1"/>
      <c r="AR52" s="2"/>
    </row>
    <row r="53" spans="2:44" ht="16" x14ac:dyDescent="0.2">
      <c r="B53" s="18"/>
      <c r="C53" s="18"/>
      <c r="D53" s="37"/>
      <c r="E53" s="3"/>
      <c r="F53" s="1"/>
      <c r="G53" s="18"/>
      <c r="H53" s="37"/>
      <c r="I53" s="3"/>
      <c r="J53" s="1"/>
      <c r="K53" s="18"/>
      <c r="L53" s="37"/>
      <c r="M53" s="3"/>
      <c r="N53" s="1"/>
      <c r="O53" s="18"/>
      <c r="P53" s="18"/>
      <c r="Q53" s="3"/>
      <c r="R53" s="1"/>
      <c r="S53" s="18"/>
      <c r="T53" s="18"/>
      <c r="U53" s="3"/>
      <c r="V53" s="1"/>
      <c r="W53" s="18"/>
      <c r="X53" s="18"/>
      <c r="Y53" s="3"/>
      <c r="Z53" s="1"/>
      <c r="AR53" s="2"/>
    </row>
    <row r="54" spans="2:44" ht="16" x14ac:dyDescent="0.2">
      <c r="B54" s="18"/>
      <c r="C54" s="18"/>
      <c r="D54" s="37"/>
      <c r="E54" s="3"/>
      <c r="F54" s="1"/>
      <c r="G54" s="18"/>
      <c r="H54" s="37"/>
      <c r="I54" s="3"/>
      <c r="J54" s="1"/>
      <c r="K54" s="18"/>
      <c r="L54" s="37"/>
      <c r="M54" s="3"/>
      <c r="N54" s="1"/>
      <c r="O54" s="18"/>
      <c r="P54" s="18"/>
      <c r="Q54" s="3"/>
      <c r="R54" s="1"/>
      <c r="S54" s="18"/>
      <c r="T54" s="18"/>
      <c r="U54" s="3"/>
      <c r="V54" s="1"/>
      <c r="W54" s="18"/>
      <c r="X54" s="18"/>
      <c r="Y54" s="3"/>
      <c r="Z54" s="1"/>
      <c r="AR54" s="2"/>
    </row>
    <row r="55" spans="2:44" ht="16" x14ac:dyDescent="0.2">
      <c r="B55" s="18"/>
      <c r="C55" s="18"/>
      <c r="D55" s="37"/>
      <c r="E55" s="3"/>
      <c r="F55" s="1"/>
      <c r="G55" s="18"/>
      <c r="H55" s="37"/>
      <c r="I55" s="3"/>
      <c r="J55" s="1"/>
      <c r="K55" s="18"/>
      <c r="L55" s="37"/>
      <c r="M55" s="3"/>
      <c r="N55" s="1"/>
      <c r="O55" s="18"/>
      <c r="P55" s="18"/>
      <c r="Q55" s="3"/>
      <c r="R55" s="1"/>
      <c r="S55" s="18"/>
      <c r="T55" s="18"/>
      <c r="U55" s="3"/>
      <c r="V55" s="1"/>
      <c r="W55" s="18"/>
      <c r="X55" s="18"/>
      <c r="Y55" s="3"/>
      <c r="Z55" s="1"/>
      <c r="AR55" s="2"/>
    </row>
    <row r="56" spans="2:44" ht="16" x14ac:dyDescent="0.2">
      <c r="B56" s="18"/>
      <c r="C56" s="18"/>
      <c r="D56" s="37"/>
      <c r="E56" s="3"/>
      <c r="F56" s="1"/>
      <c r="G56" s="18"/>
      <c r="H56" s="37"/>
      <c r="I56" s="3"/>
      <c r="J56" s="1"/>
      <c r="K56" s="18"/>
      <c r="L56" s="37"/>
      <c r="M56" s="3"/>
      <c r="N56" s="1"/>
      <c r="O56" s="18"/>
      <c r="P56" s="18"/>
      <c r="Q56" s="3"/>
      <c r="R56" s="1"/>
      <c r="S56" s="18"/>
      <c r="T56" s="18"/>
      <c r="U56" s="3"/>
      <c r="V56" s="1"/>
      <c r="W56" s="18"/>
      <c r="X56" s="18"/>
      <c r="Y56" s="3"/>
      <c r="Z56" s="1"/>
      <c r="AR56" s="2"/>
    </row>
    <row r="57" spans="2:44" ht="16" x14ac:dyDescent="0.2">
      <c r="B57" s="18"/>
      <c r="C57" s="18"/>
      <c r="D57" s="37"/>
      <c r="E57" s="3"/>
      <c r="F57" s="1"/>
      <c r="G57" s="18"/>
      <c r="H57" s="37"/>
      <c r="I57" s="3"/>
      <c r="J57" s="1"/>
      <c r="K57" s="18"/>
      <c r="L57" s="37"/>
      <c r="M57" s="3"/>
      <c r="N57" s="1"/>
      <c r="O57" s="18"/>
      <c r="P57" s="18"/>
      <c r="Q57" s="3"/>
      <c r="R57" s="1"/>
      <c r="S57" s="18"/>
      <c r="T57" s="18"/>
      <c r="U57" s="3"/>
      <c r="V57" s="1"/>
      <c r="W57" s="18"/>
      <c r="X57" s="18"/>
      <c r="Y57" s="3"/>
      <c r="Z57" s="1"/>
      <c r="AR57" s="2"/>
    </row>
    <row r="58" spans="2:44" ht="16" x14ac:dyDescent="0.2">
      <c r="B58" s="18"/>
      <c r="C58" s="18"/>
      <c r="D58" s="37"/>
      <c r="E58" s="3"/>
      <c r="F58" s="1"/>
      <c r="G58" s="18"/>
      <c r="H58" s="37"/>
      <c r="I58" s="3"/>
      <c r="J58" s="1"/>
      <c r="K58" s="18"/>
      <c r="L58" s="37"/>
      <c r="M58" s="3"/>
      <c r="N58" s="1"/>
      <c r="O58" s="18"/>
      <c r="P58" s="18"/>
      <c r="Q58" s="3"/>
      <c r="R58" s="1"/>
      <c r="S58" s="18"/>
      <c r="T58" s="18"/>
      <c r="U58" s="3"/>
      <c r="V58" s="1"/>
      <c r="W58" s="18"/>
      <c r="X58" s="18"/>
      <c r="Y58" s="3"/>
      <c r="Z58" s="1"/>
      <c r="AR58" s="2"/>
    </row>
    <row r="59" spans="2:44" ht="16" x14ac:dyDescent="0.2">
      <c r="B59" s="18"/>
      <c r="C59" s="18"/>
      <c r="D59" s="37"/>
      <c r="E59" s="3"/>
      <c r="F59" s="1"/>
      <c r="G59" s="18"/>
      <c r="H59" s="37"/>
      <c r="I59" s="3"/>
      <c r="J59" s="1"/>
      <c r="K59" s="18"/>
      <c r="L59" s="37"/>
      <c r="M59" s="3"/>
      <c r="N59" s="1"/>
      <c r="O59" s="18"/>
      <c r="P59" s="18"/>
      <c r="Q59" s="3"/>
      <c r="R59" s="1"/>
      <c r="S59" s="18"/>
      <c r="T59" s="18"/>
      <c r="U59" s="3"/>
      <c r="V59" s="1"/>
      <c r="W59" s="18"/>
      <c r="X59" s="18"/>
      <c r="Y59" s="3"/>
      <c r="Z59" s="1"/>
      <c r="AR59" s="2"/>
    </row>
    <row r="60" spans="2:44" ht="16" x14ac:dyDescent="0.2">
      <c r="B60" s="18"/>
      <c r="C60" s="18"/>
      <c r="D60" s="37"/>
      <c r="E60" s="3"/>
      <c r="F60" s="1"/>
      <c r="G60" s="18"/>
      <c r="H60" s="37"/>
      <c r="I60" s="3"/>
      <c r="J60" s="1"/>
      <c r="K60" s="18"/>
      <c r="L60" s="37"/>
      <c r="M60" s="3"/>
      <c r="N60" s="1"/>
      <c r="O60" s="18"/>
      <c r="P60" s="18"/>
      <c r="Q60" s="3"/>
      <c r="R60" s="1"/>
      <c r="S60" s="18"/>
      <c r="T60" s="18"/>
      <c r="U60" s="3"/>
      <c r="V60" s="1"/>
      <c r="W60" s="18"/>
      <c r="X60" s="18"/>
      <c r="Y60" s="3"/>
      <c r="Z60" s="1"/>
      <c r="AR60" s="2"/>
    </row>
    <row r="61" spans="2:44" ht="16" x14ac:dyDescent="0.2">
      <c r="B61" s="18"/>
      <c r="C61" s="18"/>
      <c r="D61" s="37"/>
      <c r="E61" s="3"/>
      <c r="F61" s="1"/>
      <c r="G61" s="18"/>
      <c r="H61" s="37"/>
      <c r="I61" s="3"/>
      <c r="J61" s="1"/>
      <c r="K61" s="18"/>
      <c r="L61" s="37"/>
      <c r="M61" s="3"/>
      <c r="N61" s="1"/>
      <c r="O61" s="18"/>
      <c r="P61" s="18"/>
      <c r="Q61" s="3"/>
      <c r="R61" s="1"/>
      <c r="S61" s="18"/>
      <c r="T61" s="18"/>
      <c r="U61" s="3"/>
      <c r="V61" s="1"/>
      <c r="W61" s="18"/>
      <c r="X61" s="18"/>
      <c r="Y61" s="3"/>
      <c r="Z61" s="1"/>
      <c r="AR61" s="2"/>
    </row>
    <row r="62" spans="2:44" ht="16" x14ac:dyDescent="0.2">
      <c r="B62" s="18"/>
      <c r="C62" s="18"/>
      <c r="D62" s="37"/>
      <c r="E62" s="3"/>
      <c r="F62" s="1"/>
      <c r="G62" s="18"/>
      <c r="H62" s="37"/>
      <c r="I62" s="3"/>
      <c r="J62" s="1"/>
      <c r="K62" s="18"/>
      <c r="L62" s="37"/>
      <c r="M62" s="3"/>
      <c r="N62" s="1"/>
      <c r="O62" s="18"/>
      <c r="P62" s="18"/>
      <c r="Q62" s="3"/>
      <c r="R62" s="1"/>
      <c r="S62" s="18"/>
      <c r="T62" s="18"/>
      <c r="U62" s="3"/>
      <c r="V62" s="1"/>
      <c r="W62" s="18"/>
      <c r="X62" s="18"/>
      <c r="Y62" s="3"/>
      <c r="Z62" s="1"/>
      <c r="AR62" s="2"/>
    </row>
    <row r="63" spans="2:44" ht="16" x14ac:dyDescent="0.2">
      <c r="B63" s="18"/>
      <c r="C63" s="18"/>
      <c r="D63" s="37"/>
      <c r="E63" s="3"/>
      <c r="F63" s="1"/>
      <c r="G63" s="18"/>
      <c r="H63" s="37"/>
      <c r="I63" s="3"/>
      <c r="J63" s="1"/>
      <c r="K63" s="18"/>
      <c r="L63" s="37"/>
      <c r="M63" s="3"/>
      <c r="N63" s="1"/>
      <c r="O63" s="18"/>
      <c r="P63" s="18"/>
      <c r="Q63" s="3"/>
      <c r="R63" s="1"/>
      <c r="S63" s="18"/>
      <c r="T63" s="18"/>
      <c r="U63" s="3"/>
      <c r="V63" s="1"/>
      <c r="W63" s="18"/>
      <c r="X63" s="18"/>
      <c r="Y63" s="3"/>
      <c r="Z63" s="1"/>
      <c r="AR63" s="2"/>
    </row>
    <row r="64" spans="2:44" ht="16" x14ac:dyDescent="0.2">
      <c r="B64" s="18"/>
      <c r="C64" s="18"/>
      <c r="D64" s="37"/>
      <c r="E64" s="3"/>
      <c r="F64" s="1"/>
      <c r="G64" s="18"/>
      <c r="H64" s="37"/>
      <c r="I64" s="3"/>
      <c r="J64" s="1"/>
      <c r="K64" s="18"/>
      <c r="L64" s="37"/>
      <c r="M64" s="3"/>
      <c r="N64" s="1"/>
      <c r="O64" s="18"/>
      <c r="P64" s="18"/>
      <c r="Q64" s="3"/>
      <c r="R64" s="1"/>
      <c r="S64" s="18"/>
      <c r="T64" s="18"/>
      <c r="U64" s="3"/>
      <c r="V64" s="1"/>
      <c r="W64" s="18"/>
      <c r="X64" s="18"/>
      <c r="Y64" s="3"/>
      <c r="Z64" s="1"/>
      <c r="AR64" s="2"/>
    </row>
    <row r="65" spans="2:44" ht="16" x14ac:dyDescent="0.2">
      <c r="B65" s="18"/>
      <c r="C65" s="18"/>
      <c r="D65" s="37"/>
      <c r="E65" s="3"/>
      <c r="F65" s="1"/>
      <c r="G65" s="18"/>
      <c r="H65" s="37"/>
      <c r="I65" s="3"/>
      <c r="J65" s="1"/>
      <c r="K65" s="18"/>
      <c r="L65" s="37"/>
      <c r="M65" s="3"/>
      <c r="N65" s="1"/>
      <c r="O65" s="18"/>
      <c r="P65" s="18"/>
      <c r="Q65" s="3"/>
      <c r="R65" s="1"/>
      <c r="S65" s="18"/>
      <c r="T65" s="18"/>
      <c r="U65" s="3"/>
      <c r="V65" s="1"/>
      <c r="W65" s="18"/>
      <c r="X65" s="18"/>
      <c r="Y65" s="3"/>
      <c r="Z65" s="1"/>
      <c r="AR65" s="2"/>
    </row>
    <row r="66" spans="2:44" ht="16" x14ac:dyDescent="0.2">
      <c r="B66" s="18"/>
      <c r="C66" s="18"/>
      <c r="D66" s="37"/>
      <c r="E66" s="3"/>
      <c r="F66" s="1"/>
      <c r="G66" s="18"/>
      <c r="H66" s="37"/>
      <c r="I66" s="3"/>
      <c r="J66" s="1"/>
      <c r="K66" s="18"/>
      <c r="L66" s="37"/>
      <c r="M66" s="3"/>
      <c r="N66" s="1"/>
      <c r="O66" s="18"/>
      <c r="P66" s="18"/>
      <c r="Q66" s="3"/>
      <c r="R66" s="1"/>
      <c r="S66" s="18"/>
      <c r="T66" s="18"/>
      <c r="U66" s="3"/>
      <c r="V66" s="1"/>
      <c r="W66" s="18"/>
      <c r="X66" s="18"/>
      <c r="Y66" s="3"/>
      <c r="Z66" s="1"/>
      <c r="AR66" s="2"/>
    </row>
    <row r="67" spans="2:44" ht="16" x14ac:dyDescent="0.2">
      <c r="B67" s="18"/>
      <c r="C67" s="18"/>
      <c r="D67" s="37"/>
      <c r="E67" s="3"/>
      <c r="F67" s="1"/>
      <c r="G67" s="18"/>
      <c r="H67" s="37"/>
      <c r="I67" s="3"/>
      <c r="J67" s="1"/>
      <c r="K67" s="18"/>
      <c r="L67" s="37"/>
      <c r="M67" s="3"/>
      <c r="N67" s="1"/>
      <c r="O67" s="18"/>
      <c r="P67" s="18"/>
      <c r="Q67" s="3"/>
      <c r="R67" s="1"/>
      <c r="S67" s="18"/>
      <c r="T67" s="18"/>
      <c r="U67" s="3"/>
      <c r="V67" s="1"/>
      <c r="W67" s="18"/>
      <c r="X67" s="18"/>
      <c r="Y67" s="3"/>
      <c r="Z67" s="1"/>
      <c r="AR67" s="2"/>
    </row>
    <row r="68" spans="2:44" ht="16" x14ac:dyDescent="0.2">
      <c r="B68" s="18"/>
      <c r="C68" s="18"/>
      <c r="D68" s="37"/>
      <c r="E68" s="3"/>
      <c r="F68" s="1"/>
      <c r="G68" s="18"/>
      <c r="H68" s="37"/>
      <c r="I68" s="3"/>
      <c r="J68" s="1"/>
      <c r="K68" s="18"/>
      <c r="L68" s="37"/>
      <c r="M68" s="3"/>
      <c r="N68" s="1"/>
      <c r="O68" s="18"/>
      <c r="P68" s="18"/>
      <c r="Q68" s="3"/>
      <c r="R68" s="1"/>
      <c r="S68" s="18"/>
      <c r="T68" s="18"/>
      <c r="U68" s="3"/>
      <c r="V68" s="1"/>
      <c r="W68" s="18"/>
      <c r="X68" s="18"/>
      <c r="Y68" s="3"/>
      <c r="Z68" s="1"/>
      <c r="AR68" s="2"/>
    </row>
    <row r="69" spans="2:44" ht="16" x14ac:dyDescent="0.2">
      <c r="B69" s="18"/>
      <c r="C69" s="18"/>
      <c r="D69" s="37"/>
      <c r="E69" s="3"/>
      <c r="F69" s="1"/>
      <c r="G69" s="18"/>
      <c r="H69" s="37"/>
      <c r="I69" s="3"/>
      <c r="J69" s="1"/>
      <c r="K69" s="18"/>
      <c r="L69" s="37"/>
      <c r="M69" s="3"/>
      <c r="N69" s="1"/>
      <c r="O69" s="18"/>
      <c r="P69" s="18"/>
      <c r="Q69" s="3"/>
      <c r="R69" s="1"/>
      <c r="S69" s="18"/>
      <c r="T69" s="18"/>
      <c r="U69" s="3"/>
      <c r="V69" s="1"/>
      <c r="W69" s="18"/>
      <c r="X69" s="18"/>
      <c r="Y69" s="3"/>
      <c r="Z69" s="1"/>
      <c r="AR69" s="2"/>
    </row>
    <row r="70" spans="2:44" ht="16" x14ac:dyDescent="0.2">
      <c r="B70" s="18"/>
      <c r="C70" s="18"/>
      <c r="D70" s="37"/>
      <c r="E70" s="3"/>
      <c r="F70" s="1"/>
      <c r="G70" s="18"/>
      <c r="H70" s="37"/>
      <c r="I70" s="3"/>
      <c r="J70" s="1"/>
      <c r="K70" s="18"/>
      <c r="L70" s="37"/>
      <c r="M70" s="3"/>
      <c r="N70" s="1"/>
      <c r="O70" s="18"/>
      <c r="P70" s="18"/>
      <c r="Q70" s="3"/>
      <c r="R70" s="1"/>
      <c r="S70" s="18"/>
      <c r="T70" s="18"/>
      <c r="U70" s="3"/>
      <c r="V70" s="1"/>
      <c r="W70" s="18"/>
      <c r="X70" s="18"/>
      <c r="Y70" s="3"/>
      <c r="Z70" s="1"/>
      <c r="AR70" s="2"/>
    </row>
    <row r="71" spans="2:44" ht="16" x14ac:dyDescent="0.2">
      <c r="B71" s="18"/>
      <c r="C71" s="18"/>
      <c r="D71" s="37"/>
      <c r="E71" s="3"/>
      <c r="F71" s="1"/>
      <c r="G71" s="18"/>
      <c r="H71" s="37"/>
      <c r="I71" s="3"/>
      <c r="J71" s="1"/>
      <c r="K71" s="18"/>
      <c r="L71" s="37"/>
      <c r="M71" s="3"/>
      <c r="N71" s="1"/>
      <c r="O71" s="18"/>
      <c r="P71" s="18"/>
      <c r="Q71" s="3"/>
      <c r="R71" s="1"/>
      <c r="S71" s="18"/>
      <c r="T71" s="18"/>
      <c r="U71" s="3"/>
      <c r="V71" s="1"/>
      <c r="W71" s="18"/>
      <c r="X71" s="18"/>
      <c r="Y71" s="3"/>
      <c r="Z71" s="1"/>
      <c r="AR71" s="2"/>
    </row>
    <row r="72" spans="2:44" ht="16" x14ac:dyDescent="0.2">
      <c r="B72" s="18"/>
      <c r="C72" s="18"/>
      <c r="D72" s="37"/>
      <c r="E72" s="3"/>
      <c r="F72" s="1"/>
      <c r="G72" s="18"/>
      <c r="H72" s="37"/>
      <c r="I72" s="3"/>
      <c r="J72" s="1"/>
      <c r="K72" s="18"/>
      <c r="L72" s="37"/>
      <c r="M72" s="3"/>
      <c r="N72" s="1"/>
      <c r="O72" s="18"/>
      <c r="P72" s="18"/>
      <c r="Q72" s="3"/>
      <c r="R72" s="1"/>
      <c r="S72" s="18"/>
      <c r="T72" s="18"/>
      <c r="U72" s="3"/>
      <c r="V72" s="1"/>
      <c r="W72" s="18"/>
      <c r="X72" s="18"/>
      <c r="Y72" s="3"/>
      <c r="Z72" s="1"/>
      <c r="AR72" s="2"/>
    </row>
    <row r="73" spans="2:44" ht="16" x14ac:dyDescent="0.2">
      <c r="B73" s="18"/>
      <c r="C73" s="18"/>
      <c r="D73" s="37"/>
      <c r="E73" s="3"/>
      <c r="F73" s="1"/>
      <c r="G73" s="18"/>
      <c r="H73" s="37"/>
      <c r="I73" s="3"/>
      <c r="J73" s="1"/>
      <c r="K73" s="37"/>
      <c r="L73" s="37"/>
      <c r="M73" s="3"/>
      <c r="N73" s="1"/>
      <c r="O73" s="18"/>
      <c r="P73" s="18"/>
      <c r="Q73" s="3"/>
      <c r="R73" s="1"/>
      <c r="S73" s="18"/>
      <c r="T73" s="18"/>
      <c r="U73" s="3"/>
      <c r="V73" s="1"/>
      <c r="W73" s="18"/>
      <c r="X73" s="18"/>
      <c r="Y73" s="3"/>
      <c r="Z73" s="1"/>
      <c r="AR73" s="2"/>
    </row>
    <row r="74" spans="2:44" ht="16" x14ac:dyDescent="0.2">
      <c r="B74" s="18"/>
      <c r="C74" s="18"/>
      <c r="D74" s="37"/>
      <c r="E74" s="3"/>
      <c r="F74" s="1"/>
      <c r="G74" s="18"/>
      <c r="H74" s="37"/>
      <c r="I74" s="3"/>
      <c r="J74" s="1"/>
      <c r="K74" s="18"/>
      <c r="L74" s="37"/>
      <c r="M74" s="3"/>
      <c r="N74" s="1"/>
      <c r="O74" s="18"/>
      <c r="P74" s="18"/>
      <c r="Q74" s="3"/>
      <c r="R74" s="1"/>
      <c r="S74" s="18"/>
      <c r="T74" s="18"/>
      <c r="U74" s="3"/>
      <c r="V74" s="1"/>
      <c r="W74" s="18"/>
      <c r="X74" s="18"/>
      <c r="Y74" s="3"/>
      <c r="Z74" s="1"/>
      <c r="AR74" s="2"/>
    </row>
    <row r="75" spans="2:44" ht="16" x14ac:dyDescent="0.2">
      <c r="B75" s="18"/>
      <c r="C75" s="18"/>
      <c r="D75" s="37"/>
      <c r="E75" s="3"/>
      <c r="F75" s="1"/>
      <c r="G75" s="18"/>
      <c r="H75" s="37"/>
      <c r="I75" s="3"/>
      <c r="J75" s="1"/>
      <c r="K75" s="18"/>
      <c r="L75" s="37"/>
      <c r="M75" s="3"/>
      <c r="N75" s="1"/>
      <c r="O75" s="18"/>
      <c r="P75" s="18"/>
      <c r="Q75" s="3"/>
      <c r="R75" s="1"/>
      <c r="S75" s="18"/>
      <c r="T75" s="18"/>
      <c r="U75" s="3"/>
      <c r="V75" s="1"/>
      <c r="W75" s="18"/>
      <c r="X75" s="18"/>
      <c r="Y75" s="3"/>
      <c r="Z75" s="1"/>
      <c r="AR75" s="2"/>
    </row>
    <row r="76" spans="2:44" ht="16" x14ac:dyDescent="0.2">
      <c r="B76" s="18"/>
      <c r="C76" s="18"/>
      <c r="D76" s="37"/>
      <c r="E76" s="3"/>
      <c r="F76" s="1"/>
      <c r="G76" s="18"/>
      <c r="H76" s="37"/>
      <c r="I76" s="3"/>
      <c r="J76" s="1"/>
      <c r="K76" s="18"/>
      <c r="L76" s="37"/>
      <c r="M76" s="3"/>
      <c r="N76" s="1"/>
      <c r="O76" s="18"/>
      <c r="P76" s="18"/>
      <c r="Q76" s="3"/>
      <c r="R76" s="1"/>
      <c r="S76" s="18"/>
      <c r="T76" s="18"/>
      <c r="U76" s="3"/>
      <c r="V76" s="1"/>
      <c r="W76" s="18"/>
      <c r="X76" s="18"/>
      <c r="Y76" s="3"/>
      <c r="Z76" s="1"/>
      <c r="AR76" s="2"/>
    </row>
    <row r="77" spans="2:44" ht="16" x14ac:dyDescent="0.2">
      <c r="B77" s="18"/>
      <c r="C77" s="18"/>
      <c r="D77" s="37"/>
      <c r="E77" s="3"/>
      <c r="F77" s="1"/>
      <c r="G77" s="18"/>
      <c r="H77" s="37"/>
      <c r="I77" s="3"/>
      <c r="J77" s="1"/>
      <c r="K77" s="18"/>
      <c r="L77" s="37"/>
      <c r="M77" s="3"/>
      <c r="N77" s="1"/>
      <c r="O77" s="18"/>
      <c r="P77" s="18"/>
      <c r="Q77" s="3"/>
      <c r="R77" s="1"/>
      <c r="S77" s="18"/>
      <c r="T77" s="18"/>
      <c r="U77" s="3"/>
      <c r="V77" s="1"/>
      <c r="W77" s="18"/>
      <c r="X77" s="18"/>
      <c r="Y77" s="3"/>
      <c r="Z77" s="1"/>
      <c r="AR77" s="2"/>
    </row>
    <row r="78" spans="2:44" ht="16" x14ac:dyDescent="0.2">
      <c r="B78" s="18"/>
      <c r="C78" s="18"/>
      <c r="D78" s="37"/>
      <c r="E78" s="3"/>
      <c r="F78" s="1"/>
      <c r="G78" s="18"/>
      <c r="H78" s="37"/>
      <c r="I78" s="3"/>
      <c r="J78" s="1"/>
      <c r="K78" s="18"/>
      <c r="L78" s="37"/>
      <c r="M78" s="3"/>
      <c r="N78" s="1"/>
      <c r="O78" s="18"/>
      <c r="P78" s="18"/>
      <c r="Q78" s="3"/>
      <c r="R78" s="1"/>
      <c r="S78" s="18"/>
      <c r="T78" s="18"/>
      <c r="U78" s="3"/>
      <c r="V78" s="1"/>
      <c r="W78" s="18"/>
      <c r="X78" s="18"/>
      <c r="Y78" s="3"/>
      <c r="Z78" s="1"/>
      <c r="AR78" s="2"/>
    </row>
    <row r="79" spans="2:44" ht="16" x14ac:dyDescent="0.2">
      <c r="B79" s="18"/>
      <c r="C79" s="18"/>
      <c r="D79" s="37"/>
      <c r="E79" s="3"/>
      <c r="F79" s="1"/>
      <c r="G79" s="18"/>
      <c r="H79" s="37"/>
      <c r="I79" s="3"/>
      <c r="J79" s="1"/>
      <c r="K79" s="37"/>
      <c r="L79" s="37"/>
      <c r="M79" s="3"/>
      <c r="N79" s="1"/>
      <c r="O79" s="18"/>
      <c r="P79" s="18"/>
      <c r="Q79" s="3"/>
      <c r="R79" s="1"/>
      <c r="S79" s="18"/>
      <c r="T79" s="18"/>
      <c r="U79" s="3"/>
      <c r="V79" s="1"/>
      <c r="W79" s="18"/>
      <c r="X79" s="18"/>
      <c r="Y79" s="3"/>
      <c r="Z79" s="1"/>
      <c r="AR79" s="2"/>
    </row>
    <row r="80" spans="2:44" ht="16" x14ac:dyDescent="0.2">
      <c r="B80" s="18"/>
      <c r="C80" s="18"/>
      <c r="D80" s="37"/>
      <c r="E80" s="3"/>
      <c r="F80" s="1"/>
      <c r="G80" s="18"/>
      <c r="H80" s="37"/>
      <c r="I80" s="3"/>
      <c r="J80" s="1"/>
      <c r="K80" s="18"/>
      <c r="L80" s="37"/>
      <c r="M80" s="3"/>
      <c r="N80" s="1"/>
      <c r="O80" s="18"/>
      <c r="P80" s="18"/>
      <c r="Q80" s="3"/>
      <c r="R80" s="1"/>
      <c r="S80" s="18"/>
      <c r="T80" s="18"/>
      <c r="U80" s="3"/>
      <c r="V80" s="1"/>
      <c r="W80" s="18"/>
      <c r="X80" s="18"/>
      <c r="Y80" s="3"/>
      <c r="Z80" s="1"/>
      <c r="AR80" s="2"/>
    </row>
    <row r="81" spans="2:44" ht="16" x14ac:dyDescent="0.2">
      <c r="B81" s="18"/>
      <c r="C81" s="18"/>
      <c r="D81" s="37"/>
      <c r="E81" s="3"/>
      <c r="F81" s="1"/>
      <c r="G81" s="18"/>
      <c r="H81" s="37"/>
      <c r="I81" s="3"/>
      <c r="J81" s="1"/>
      <c r="K81" s="37"/>
      <c r="L81" s="37"/>
      <c r="M81" s="3"/>
      <c r="N81" s="1"/>
      <c r="O81" s="18"/>
      <c r="P81" s="18"/>
      <c r="Q81" s="3"/>
      <c r="R81" s="1"/>
      <c r="S81" s="18"/>
      <c r="T81" s="18"/>
      <c r="U81" s="3"/>
      <c r="V81" s="1"/>
      <c r="W81" s="18"/>
      <c r="X81" s="18"/>
      <c r="Y81" s="3"/>
      <c r="Z81" s="1"/>
      <c r="AR81" s="2"/>
    </row>
    <row r="82" spans="2:44" ht="16" x14ac:dyDescent="0.2">
      <c r="B82" s="18"/>
      <c r="C82" s="18"/>
      <c r="D82" s="37"/>
      <c r="E82" s="3"/>
      <c r="F82" s="1"/>
      <c r="G82" s="18"/>
      <c r="H82" s="37"/>
      <c r="I82" s="3"/>
      <c r="J82" s="1"/>
      <c r="K82" s="37"/>
      <c r="L82" s="37"/>
      <c r="M82" s="3"/>
      <c r="N82" s="1"/>
      <c r="O82" s="18"/>
      <c r="P82" s="18"/>
      <c r="Q82" s="3"/>
      <c r="R82" s="1"/>
      <c r="S82" s="18"/>
      <c r="T82" s="18"/>
      <c r="U82" s="3"/>
      <c r="V82" s="1"/>
      <c r="W82" s="18"/>
      <c r="X82" s="18"/>
      <c r="Y82" s="3"/>
      <c r="Z82" s="1"/>
      <c r="AR82" s="2"/>
    </row>
    <row r="83" spans="2:44" ht="16" x14ac:dyDescent="0.2">
      <c r="B83" s="18"/>
      <c r="C83" s="18"/>
      <c r="D83" s="37"/>
      <c r="E83" s="3"/>
      <c r="F83" s="1"/>
      <c r="G83" s="18"/>
      <c r="H83" s="37"/>
      <c r="I83" s="3"/>
      <c r="J83" s="1"/>
      <c r="K83" s="18"/>
      <c r="L83" s="37"/>
      <c r="M83" s="3"/>
      <c r="N83" s="1"/>
      <c r="O83" s="18"/>
      <c r="P83" s="18"/>
      <c r="Q83" s="3"/>
      <c r="R83" s="1"/>
      <c r="S83" s="18"/>
      <c r="T83" s="18"/>
      <c r="U83" s="3"/>
      <c r="V83" s="1"/>
      <c r="W83" s="18"/>
      <c r="X83" s="18"/>
      <c r="Y83" s="3"/>
      <c r="Z83" s="1"/>
      <c r="AR83" s="2"/>
    </row>
    <row r="84" spans="2:44" ht="16" x14ac:dyDescent="0.2">
      <c r="B84" s="18"/>
      <c r="C84" s="18"/>
      <c r="D84" s="37"/>
      <c r="E84" s="3"/>
      <c r="F84" s="1"/>
      <c r="G84" s="18"/>
      <c r="H84" s="37"/>
      <c r="I84" s="3"/>
      <c r="J84" s="1"/>
      <c r="K84" s="18"/>
      <c r="L84" s="37"/>
      <c r="M84" s="3"/>
      <c r="N84" s="1"/>
      <c r="O84" s="18"/>
      <c r="P84" s="18"/>
      <c r="Q84" s="3"/>
      <c r="R84" s="1"/>
      <c r="S84" s="18"/>
      <c r="T84" s="18"/>
      <c r="U84" s="3"/>
      <c r="V84" s="1"/>
      <c r="W84" s="18"/>
      <c r="X84" s="18"/>
      <c r="Y84" s="3"/>
      <c r="Z84" s="1"/>
      <c r="AR84" s="2"/>
    </row>
    <row r="85" spans="2:44" ht="16" x14ac:dyDescent="0.2">
      <c r="B85" s="18"/>
      <c r="C85" s="18"/>
      <c r="D85" s="37"/>
      <c r="E85" s="3"/>
      <c r="F85" s="1"/>
      <c r="G85" s="18"/>
      <c r="H85" s="37"/>
      <c r="I85" s="3"/>
      <c r="J85" s="1"/>
      <c r="K85" s="18"/>
      <c r="L85" s="37"/>
      <c r="M85" s="3"/>
      <c r="N85" s="1"/>
      <c r="O85" s="18"/>
      <c r="P85" s="18"/>
      <c r="Q85" s="3"/>
      <c r="R85" s="1"/>
      <c r="S85" s="18"/>
      <c r="T85" s="18"/>
      <c r="U85" s="3"/>
      <c r="V85" s="1"/>
      <c r="W85" s="18"/>
      <c r="X85" s="18"/>
      <c r="Y85" s="3"/>
      <c r="Z85" s="1"/>
      <c r="AR85" s="2"/>
    </row>
    <row r="86" spans="2:44" ht="16" x14ac:dyDescent="0.2">
      <c r="B86" s="18"/>
      <c r="C86" s="18"/>
      <c r="D86" s="37"/>
      <c r="E86" s="3"/>
      <c r="F86" s="1"/>
      <c r="G86" s="18"/>
      <c r="H86" s="37"/>
      <c r="I86" s="3"/>
      <c r="J86" s="1"/>
      <c r="K86" s="18"/>
      <c r="L86" s="37"/>
      <c r="M86" s="3"/>
      <c r="N86" s="1"/>
      <c r="O86" s="18"/>
      <c r="P86" s="18"/>
      <c r="Q86" s="3"/>
      <c r="R86" s="1"/>
      <c r="S86" s="18"/>
      <c r="T86" s="18"/>
      <c r="U86" s="3"/>
      <c r="V86" s="1"/>
      <c r="W86" s="18"/>
      <c r="X86" s="18"/>
      <c r="Y86" s="3"/>
      <c r="Z86" s="1"/>
      <c r="AR86" s="2"/>
    </row>
    <row r="87" spans="2:44" ht="16" x14ac:dyDescent="0.2">
      <c r="B87" s="18"/>
      <c r="C87" s="18"/>
      <c r="D87" s="37"/>
      <c r="E87" s="3"/>
      <c r="F87" s="1"/>
      <c r="G87" s="18"/>
      <c r="H87" s="37"/>
      <c r="I87" s="3"/>
      <c r="J87" s="1"/>
      <c r="K87" s="18"/>
      <c r="L87" s="37"/>
      <c r="M87" s="3"/>
      <c r="N87" s="1"/>
      <c r="O87" s="18"/>
      <c r="P87" s="18"/>
      <c r="Q87" s="3"/>
      <c r="R87" s="1"/>
      <c r="S87" s="18"/>
      <c r="T87" s="18"/>
      <c r="U87" s="3"/>
      <c r="V87" s="1"/>
      <c r="W87" s="18"/>
      <c r="X87" s="18"/>
      <c r="Y87" s="3"/>
      <c r="Z87" s="1"/>
      <c r="AR87" s="2"/>
    </row>
    <row r="88" spans="2:44" ht="16" x14ac:dyDescent="0.2">
      <c r="B88" s="18"/>
      <c r="C88" s="18"/>
      <c r="D88" s="37"/>
      <c r="E88" s="3"/>
      <c r="F88" s="1"/>
      <c r="G88" s="18"/>
      <c r="H88" s="37"/>
      <c r="I88" s="3"/>
      <c r="J88" s="1"/>
      <c r="K88" s="18"/>
      <c r="L88" s="37"/>
      <c r="M88" s="3"/>
      <c r="N88" s="1"/>
      <c r="O88" s="18"/>
      <c r="P88" s="18"/>
      <c r="Q88" s="3"/>
      <c r="R88" s="1"/>
      <c r="S88" s="18"/>
      <c r="T88" s="18"/>
      <c r="U88" s="3"/>
      <c r="V88" s="1"/>
      <c r="W88" s="18"/>
      <c r="X88" s="18"/>
      <c r="Y88" s="3"/>
      <c r="Z88" s="1"/>
      <c r="AR88" s="2"/>
    </row>
    <row r="89" spans="2:44" ht="16" x14ac:dyDescent="0.2">
      <c r="B89" s="18"/>
      <c r="C89" s="18"/>
      <c r="D89" s="37"/>
      <c r="E89" s="3"/>
      <c r="F89" s="1"/>
      <c r="G89" s="18"/>
      <c r="H89" s="37"/>
      <c r="I89" s="3"/>
      <c r="J89" s="1"/>
      <c r="K89" s="18"/>
      <c r="L89" s="37"/>
      <c r="M89" s="3"/>
      <c r="N89" s="1"/>
      <c r="O89" s="18"/>
      <c r="P89" s="18"/>
      <c r="Q89" s="3"/>
      <c r="R89" s="1"/>
      <c r="S89" s="18"/>
      <c r="T89" s="18"/>
      <c r="U89" s="3"/>
      <c r="V89" s="1"/>
      <c r="W89" s="18"/>
      <c r="X89" s="18"/>
      <c r="Y89" s="3"/>
      <c r="Z89" s="1"/>
      <c r="AR89" s="2"/>
    </row>
    <row r="90" spans="2:44" ht="16" x14ac:dyDescent="0.2">
      <c r="B90" s="18"/>
      <c r="C90" s="18"/>
      <c r="D90" s="37"/>
      <c r="E90" s="3"/>
      <c r="F90" s="1"/>
      <c r="G90" s="18"/>
      <c r="H90" s="37"/>
      <c r="I90" s="3"/>
      <c r="J90" s="1"/>
      <c r="K90" s="18"/>
      <c r="L90" s="37"/>
      <c r="M90" s="3"/>
      <c r="N90" s="1"/>
      <c r="O90" s="18"/>
      <c r="P90" s="18"/>
      <c r="Q90" s="3"/>
      <c r="R90" s="1"/>
      <c r="S90" s="18"/>
      <c r="T90" s="18"/>
      <c r="U90" s="3"/>
      <c r="V90" s="1"/>
      <c r="W90" s="18"/>
      <c r="X90" s="18"/>
      <c r="Y90" s="3"/>
      <c r="Z90" s="1"/>
      <c r="AR90" s="2"/>
    </row>
    <row r="91" spans="2:44" ht="16" x14ac:dyDescent="0.2">
      <c r="B91" s="18"/>
      <c r="C91" s="18"/>
      <c r="D91" s="37"/>
      <c r="E91" s="3"/>
      <c r="F91" s="1"/>
      <c r="G91" s="18"/>
      <c r="H91" s="37"/>
      <c r="I91" s="3"/>
      <c r="J91" s="1"/>
      <c r="K91" s="18"/>
      <c r="L91" s="37"/>
      <c r="M91" s="3"/>
      <c r="N91" s="1"/>
      <c r="O91" s="18"/>
      <c r="P91" s="18"/>
      <c r="Q91" s="3"/>
      <c r="R91" s="1"/>
      <c r="S91" s="18"/>
      <c r="T91" s="18"/>
      <c r="U91" s="3"/>
      <c r="V91" s="1"/>
      <c r="W91" s="18"/>
      <c r="X91" s="18"/>
      <c r="Y91" s="3"/>
      <c r="Z91" s="1"/>
      <c r="AR91" s="2"/>
    </row>
    <row r="92" spans="2:44" ht="16" x14ac:dyDescent="0.2">
      <c r="B92" s="18"/>
      <c r="C92" s="18"/>
      <c r="D92" s="37"/>
      <c r="E92" s="3"/>
      <c r="F92" s="1"/>
      <c r="G92" s="18"/>
      <c r="H92" s="37"/>
      <c r="I92" s="3"/>
      <c r="J92" s="1"/>
      <c r="K92" s="18"/>
      <c r="L92" s="37"/>
      <c r="M92" s="3"/>
      <c r="N92" s="1"/>
      <c r="O92" s="18"/>
      <c r="P92" s="18"/>
      <c r="Q92" s="3"/>
      <c r="R92" s="1"/>
      <c r="S92" s="18"/>
      <c r="T92" s="18"/>
      <c r="U92" s="3"/>
      <c r="V92" s="1"/>
      <c r="W92" s="18"/>
      <c r="X92" s="18"/>
      <c r="Y92" s="3"/>
      <c r="Z92" s="1"/>
      <c r="AR92" s="2"/>
    </row>
    <row r="93" spans="2:44" ht="16" x14ac:dyDescent="0.2">
      <c r="B93" s="18"/>
      <c r="C93" s="18"/>
      <c r="D93" s="37"/>
      <c r="E93" s="3"/>
      <c r="F93" s="1"/>
      <c r="G93" s="18"/>
      <c r="H93" s="37"/>
      <c r="I93" s="3"/>
      <c r="J93" s="1"/>
      <c r="K93" s="18"/>
      <c r="L93" s="37"/>
      <c r="M93" s="3"/>
      <c r="N93" s="1"/>
      <c r="O93" s="18"/>
      <c r="P93" s="18"/>
      <c r="Q93" s="3"/>
      <c r="R93" s="1"/>
      <c r="S93" s="18"/>
      <c r="T93" s="18"/>
      <c r="U93" s="3"/>
      <c r="V93" s="1"/>
      <c r="W93" s="18"/>
      <c r="X93" s="18"/>
      <c r="Y93" s="3"/>
      <c r="Z93" s="1"/>
      <c r="AR93" s="2"/>
    </row>
    <row r="94" spans="2:44" ht="16" x14ac:dyDescent="0.2">
      <c r="B94" s="18"/>
      <c r="C94" s="18"/>
      <c r="D94" s="37"/>
      <c r="E94" s="3"/>
      <c r="F94" s="1"/>
      <c r="G94" s="18"/>
      <c r="H94" s="37"/>
      <c r="I94" s="3"/>
      <c r="J94" s="1"/>
      <c r="K94" s="18"/>
      <c r="L94" s="37"/>
      <c r="M94" s="3"/>
      <c r="N94" s="1"/>
      <c r="O94" s="18"/>
      <c r="P94" s="18"/>
      <c r="Q94" s="3"/>
      <c r="R94" s="1"/>
      <c r="S94" s="18"/>
      <c r="T94" s="18"/>
      <c r="U94" s="3"/>
      <c r="V94" s="1"/>
      <c r="W94" s="18"/>
      <c r="X94" s="18"/>
      <c r="Y94" s="3"/>
      <c r="Z94" s="1"/>
      <c r="AR94" s="2"/>
    </row>
    <row r="95" spans="2:44" ht="16" x14ac:dyDescent="0.2">
      <c r="B95" s="18"/>
      <c r="C95" s="18"/>
      <c r="D95" s="37"/>
      <c r="E95" s="3"/>
      <c r="F95" s="1"/>
      <c r="G95" s="18"/>
      <c r="H95" s="37"/>
      <c r="I95" s="3"/>
      <c r="J95" s="1"/>
      <c r="K95" s="18"/>
      <c r="L95" s="37"/>
      <c r="M95" s="3"/>
      <c r="N95" s="1"/>
      <c r="O95" s="18"/>
      <c r="P95" s="18"/>
      <c r="Q95" s="3"/>
      <c r="R95" s="1"/>
      <c r="S95" s="18"/>
      <c r="T95" s="18"/>
      <c r="U95" s="3"/>
      <c r="V95" s="1"/>
      <c r="W95" s="18"/>
      <c r="X95" s="18"/>
      <c r="Y95" s="3"/>
      <c r="Z95" s="1"/>
      <c r="AR95" s="2"/>
    </row>
    <row r="96" spans="2:44" ht="16" x14ac:dyDescent="0.2">
      <c r="B96" s="18"/>
      <c r="C96" s="18"/>
      <c r="D96" s="37"/>
      <c r="E96" s="3"/>
      <c r="F96" s="1"/>
      <c r="G96" s="18"/>
      <c r="H96" s="37"/>
      <c r="I96" s="3"/>
      <c r="J96" s="1"/>
      <c r="K96" s="18"/>
      <c r="L96" s="37"/>
      <c r="M96" s="3"/>
      <c r="N96" s="1"/>
      <c r="O96" s="18"/>
      <c r="P96" s="18"/>
      <c r="Q96" s="3"/>
      <c r="R96" s="1"/>
      <c r="S96" s="18"/>
      <c r="T96" s="18"/>
      <c r="U96" s="3"/>
      <c r="V96" s="1"/>
      <c r="W96" s="18"/>
      <c r="X96" s="18"/>
      <c r="Y96" s="3"/>
      <c r="Z96" s="1"/>
      <c r="AR96" s="2"/>
    </row>
    <row r="97" spans="2:44" ht="16" x14ac:dyDescent="0.2">
      <c r="B97" s="18"/>
      <c r="C97" s="18"/>
      <c r="D97" s="37"/>
      <c r="E97" s="3"/>
      <c r="F97" s="1"/>
      <c r="G97" s="18"/>
      <c r="H97" s="37"/>
      <c r="I97" s="3"/>
      <c r="J97" s="1"/>
      <c r="K97" s="37"/>
      <c r="L97" s="37"/>
      <c r="M97" s="3"/>
      <c r="N97" s="1"/>
      <c r="O97" s="18"/>
      <c r="P97" s="18"/>
      <c r="Q97" s="3"/>
      <c r="R97" s="1"/>
      <c r="S97" s="18"/>
      <c r="T97" s="18"/>
      <c r="U97" s="3"/>
      <c r="V97" s="1"/>
      <c r="W97" s="18"/>
      <c r="X97" s="18"/>
      <c r="Y97" s="3"/>
      <c r="Z97" s="1"/>
      <c r="AR97" s="2"/>
    </row>
    <row r="98" spans="2:44" ht="16" x14ac:dyDescent="0.2">
      <c r="B98" s="18"/>
      <c r="C98" s="18"/>
      <c r="D98" s="37"/>
      <c r="E98" s="3"/>
      <c r="F98" s="1"/>
      <c r="G98" s="18"/>
      <c r="H98" s="37"/>
      <c r="I98" s="3"/>
      <c r="J98" s="1"/>
      <c r="K98" s="18"/>
      <c r="L98" s="37"/>
      <c r="M98" s="3"/>
      <c r="N98" s="1"/>
      <c r="O98" s="18"/>
      <c r="P98" s="18"/>
      <c r="Q98" s="3"/>
      <c r="R98" s="1"/>
      <c r="S98" s="18"/>
      <c r="T98" s="18"/>
      <c r="U98" s="3"/>
      <c r="V98" s="1"/>
      <c r="W98" s="18"/>
      <c r="X98" s="18"/>
      <c r="Y98" s="3"/>
      <c r="Z98" s="1"/>
      <c r="AR98" s="2"/>
    </row>
    <row r="99" spans="2:44" ht="16" x14ac:dyDescent="0.2">
      <c r="B99" s="18"/>
      <c r="C99" s="18"/>
      <c r="D99" s="37"/>
      <c r="E99" s="3"/>
      <c r="F99" s="1"/>
      <c r="G99" s="18"/>
      <c r="H99" s="37"/>
      <c r="I99" s="3"/>
      <c r="J99" s="1"/>
      <c r="K99" s="18"/>
      <c r="L99" s="37"/>
      <c r="M99" s="3"/>
      <c r="N99" s="1"/>
      <c r="O99" s="18"/>
      <c r="P99" s="18"/>
      <c r="Q99" s="3"/>
      <c r="R99" s="1"/>
      <c r="S99" s="18"/>
      <c r="T99" s="18"/>
      <c r="U99" s="3"/>
      <c r="V99" s="1"/>
      <c r="W99" s="18"/>
      <c r="X99" s="18"/>
      <c r="Y99" s="3"/>
      <c r="Z99" s="1"/>
      <c r="AR99" s="2"/>
    </row>
    <row r="100" spans="2:44" ht="16" x14ac:dyDescent="0.2">
      <c r="B100" s="18"/>
      <c r="C100" s="18"/>
      <c r="D100" s="37"/>
      <c r="E100" s="3"/>
      <c r="F100" s="1"/>
      <c r="G100" s="18"/>
      <c r="H100" s="37"/>
      <c r="I100" s="3"/>
      <c r="J100" s="1"/>
      <c r="K100" s="18"/>
      <c r="L100" s="37"/>
      <c r="M100" s="3"/>
      <c r="N100" s="1"/>
      <c r="O100" s="18"/>
      <c r="P100" s="18"/>
      <c r="Q100" s="3"/>
      <c r="R100" s="1"/>
      <c r="S100" s="18"/>
      <c r="T100" s="18"/>
      <c r="U100" s="3"/>
      <c r="V100" s="1"/>
      <c r="W100" s="18"/>
      <c r="X100" s="18"/>
      <c r="Y100" s="3"/>
      <c r="Z100" s="1"/>
      <c r="AR100" s="2"/>
    </row>
    <row r="101" spans="2:44" ht="16" x14ac:dyDescent="0.2">
      <c r="B101" s="18"/>
      <c r="C101" s="18"/>
      <c r="D101" s="37"/>
      <c r="E101" s="3"/>
      <c r="F101" s="1"/>
      <c r="G101" s="18"/>
      <c r="H101" s="37"/>
      <c r="I101" s="3"/>
      <c r="J101" s="1"/>
      <c r="K101" s="18"/>
      <c r="L101" s="37"/>
      <c r="M101" s="3"/>
      <c r="N101" s="1"/>
      <c r="O101" s="18"/>
      <c r="P101" s="18"/>
      <c r="Q101" s="3"/>
      <c r="R101" s="1"/>
      <c r="S101" s="18"/>
      <c r="T101" s="18"/>
      <c r="U101" s="3"/>
      <c r="V101" s="1"/>
      <c r="W101" s="18"/>
      <c r="X101" s="18"/>
      <c r="Y101" s="3"/>
      <c r="Z101" s="1"/>
      <c r="AR101" s="2"/>
    </row>
    <row r="102" spans="2:44" ht="16" x14ac:dyDescent="0.2">
      <c r="B102" s="18"/>
      <c r="C102" s="18"/>
      <c r="D102" s="37"/>
      <c r="E102" s="3"/>
      <c r="F102" s="1"/>
      <c r="G102" s="18"/>
      <c r="H102" s="37"/>
      <c r="I102" s="3"/>
      <c r="J102" s="1"/>
      <c r="K102" s="18"/>
      <c r="L102" s="37"/>
      <c r="M102" s="3"/>
      <c r="N102" s="1"/>
      <c r="O102" s="18"/>
      <c r="P102" s="18"/>
      <c r="Q102" s="3"/>
      <c r="R102" s="1"/>
      <c r="S102" s="18"/>
      <c r="T102" s="18"/>
      <c r="U102" s="3"/>
      <c r="V102" s="1"/>
      <c r="W102" s="18"/>
      <c r="X102" s="18"/>
      <c r="Y102" s="3"/>
      <c r="Z102" s="1"/>
      <c r="AR102" s="2"/>
    </row>
    <row r="103" spans="2:44" ht="16" x14ac:dyDescent="0.2">
      <c r="B103" s="18"/>
      <c r="C103" s="18"/>
      <c r="D103" s="37"/>
      <c r="E103" s="3"/>
      <c r="F103" s="1"/>
      <c r="G103" s="18"/>
      <c r="H103" s="37"/>
      <c r="I103" s="3"/>
      <c r="J103" s="1"/>
      <c r="K103" s="18"/>
      <c r="L103" s="37"/>
      <c r="M103" s="3"/>
      <c r="N103" s="1"/>
      <c r="O103" s="18"/>
      <c r="P103" s="18"/>
      <c r="Q103" s="3"/>
      <c r="R103" s="1"/>
      <c r="S103" s="18"/>
      <c r="T103" s="18"/>
      <c r="U103" s="3"/>
      <c r="V103" s="1"/>
      <c r="W103" s="18"/>
      <c r="X103" s="18"/>
      <c r="Y103" s="3"/>
      <c r="Z103" s="1"/>
      <c r="AR103" s="2"/>
    </row>
    <row r="104" spans="2:44" ht="16" x14ac:dyDescent="0.2">
      <c r="B104" s="18"/>
      <c r="C104" s="18"/>
      <c r="D104" s="37"/>
      <c r="E104" s="3"/>
      <c r="F104" s="1"/>
      <c r="G104" s="18"/>
      <c r="H104" s="37"/>
      <c r="I104" s="3"/>
      <c r="J104" s="1"/>
      <c r="K104" s="18"/>
      <c r="L104" s="37"/>
      <c r="M104" s="3"/>
      <c r="N104" s="1"/>
      <c r="O104" s="18"/>
      <c r="P104" s="18"/>
      <c r="Q104" s="3"/>
      <c r="R104" s="1"/>
      <c r="S104" s="18"/>
      <c r="T104" s="18"/>
      <c r="U104" s="3"/>
      <c r="V104" s="1"/>
      <c r="W104" s="18"/>
      <c r="X104" s="18"/>
      <c r="Y104" s="3"/>
      <c r="Z104" s="1"/>
      <c r="AR104" s="2"/>
    </row>
    <row r="105" spans="2:44" ht="16" x14ac:dyDescent="0.2">
      <c r="B105" s="18"/>
      <c r="C105" s="18"/>
      <c r="D105" s="37"/>
      <c r="E105" s="3"/>
      <c r="F105" s="1"/>
      <c r="G105" s="18"/>
      <c r="H105" s="37"/>
      <c r="I105" s="3"/>
      <c r="J105" s="1"/>
      <c r="K105" s="18"/>
      <c r="L105" s="37"/>
      <c r="M105" s="3"/>
      <c r="N105" s="1"/>
      <c r="O105" s="18"/>
      <c r="P105" s="18"/>
      <c r="Q105" s="3"/>
      <c r="R105" s="1"/>
      <c r="S105" s="18"/>
      <c r="T105" s="18"/>
      <c r="U105" s="3"/>
      <c r="V105" s="1"/>
      <c r="W105" s="18"/>
      <c r="X105" s="18"/>
      <c r="Y105" s="3"/>
      <c r="Z105" s="1"/>
      <c r="AR105" s="2"/>
    </row>
    <row r="106" spans="2:44" ht="16" x14ac:dyDescent="0.2">
      <c r="B106" s="18"/>
      <c r="C106" s="18"/>
      <c r="D106" s="37"/>
      <c r="E106" s="3"/>
      <c r="F106" s="1"/>
      <c r="G106" s="18"/>
      <c r="H106" s="37"/>
      <c r="I106" s="3"/>
      <c r="J106" s="1"/>
      <c r="K106" s="18"/>
      <c r="L106" s="37"/>
      <c r="M106" s="3"/>
      <c r="N106" s="1"/>
      <c r="O106" s="18"/>
      <c r="P106" s="18"/>
      <c r="Q106" s="3"/>
      <c r="R106" s="1"/>
      <c r="S106" s="18"/>
      <c r="T106" s="18"/>
      <c r="U106" s="3"/>
      <c r="V106" s="1"/>
      <c r="W106" s="18"/>
      <c r="X106" s="18"/>
      <c r="Y106" s="3"/>
      <c r="Z106" s="1"/>
      <c r="AR106" s="2"/>
    </row>
    <row r="107" spans="2:44" ht="16" x14ac:dyDescent="0.2">
      <c r="B107" s="18"/>
      <c r="C107" s="18"/>
      <c r="D107" s="37"/>
      <c r="E107" s="3"/>
      <c r="F107" s="1"/>
      <c r="G107" s="18"/>
      <c r="H107" s="37"/>
      <c r="I107" s="3"/>
      <c r="J107" s="1"/>
      <c r="K107" s="18"/>
      <c r="L107" s="37"/>
      <c r="M107" s="3"/>
      <c r="N107" s="1"/>
      <c r="O107" s="18"/>
      <c r="P107" s="18"/>
      <c r="Q107" s="3"/>
      <c r="R107" s="1"/>
      <c r="S107" s="18"/>
      <c r="T107" s="18"/>
      <c r="U107" s="3"/>
      <c r="V107" s="1"/>
      <c r="W107" s="18"/>
      <c r="X107" s="18"/>
      <c r="Y107" s="3"/>
      <c r="Z107" s="1"/>
      <c r="AR107" s="2"/>
    </row>
    <row r="108" spans="2:44" ht="16" x14ac:dyDescent="0.2">
      <c r="B108" s="18"/>
      <c r="C108" s="18"/>
      <c r="D108" s="37"/>
      <c r="E108" s="3"/>
      <c r="F108" s="1"/>
      <c r="G108" s="18"/>
      <c r="H108" s="37"/>
      <c r="I108" s="3"/>
      <c r="J108" s="1"/>
      <c r="K108" s="18"/>
      <c r="L108" s="37"/>
      <c r="M108" s="3"/>
      <c r="N108" s="1"/>
      <c r="O108" s="18"/>
      <c r="P108" s="18"/>
      <c r="Q108" s="3"/>
      <c r="R108" s="1"/>
      <c r="S108" s="18"/>
      <c r="T108" s="18"/>
      <c r="U108" s="3"/>
      <c r="V108" s="1"/>
      <c r="W108" s="18"/>
      <c r="X108" s="18"/>
      <c r="Y108" s="3"/>
      <c r="Z108" s="1"/>
      <c r="AR108" s="2"/>
    </row>
    <row r="109" spans="2:44" ht="16" x14ac:dyDescent="0.2">
      <c r="B109" s="18"/>
      <c r="C109" s="18"/>
      <c r="D109" s="37"/>
      <c r="E109" s="3"/>
      <c r="F109" s="1"/>
      <c r="G109" s="18"/>
      <c r="H109" s="37"/>
      <c r="I109" s="3"/>
      <c r="J109" s="1"/>
      <c r="K109" s="18"/>
      <c r="L109" s="37"/>
      <c r="M109" s="3"/>
      <c r="N109" s="1"/>
      <c r="O109" s="18"/>
      <c r="P109" s="18"/>
      <c r="Q109" s="3"/>
      <c r="R109" s="1"/>
      <c r="S109" s="18"/>
      <c r="T109" s="18"/>
      <c r="U109" s="3"/>
      <c r="V109" s="1"/>
      <c r="W109" s="18"/>
      <c r="X109" s="18"/>
      <c r="Y109" s="3"/>
      <c r="Z109" s="1"/>
      <c r="AR109" s="2"/>
    </row>
    <row r="110" spans="2:44" ht="16" x14ac:dyDescent="0.2">
      <c r="B110" s="18"/>
      <c r="C110" s="18"/>
      <c r="D110" s="37"/>
      <c r="E110" s="3"/>
      <c r="F110" s="1"/>
      <c r="G110" s="18"/>
      <c r="H110" s="37"/>
      <c r="I110" s="3"/>
      <c r="J110" s="1"/>
      <c r="K110" s="18"/>
      <c r="L110" s="37"/>
      <c r="M110" s="3"/>
      <c r="N110" s="1"/>
      <c r="O110" s="18"/>
      <c r="P110" s="18"/>
      <c r="Q110" s="3"/>
      <c r="R110" s="1"/>
      <c r="S110" s="18"/>
      <c r="T110" s="18"/>
      <c r="U110" s="3"/>
      <c r="V110" s="1"/>
      <c r="W110" s="18"/>
      <c r="X110" s="18"/>
      <c r="Y110" s="3"/>
      <c r="Z110" s="1"/>
      <c r="AR110" s="2"/>
    </row>
    <row r="111" spans="2:44" ht="16" x14ac:dyDescent="0.2">
      <c r="B111" s="18"/>
      <c r="C111" s="18"/>
      <c r="D111" s="37"/>
      <c r="E111" s="3"/>
      <c r="F111" s="1"/>
      <c r="G111" s="18"/>
      <c r="H111" s="37"/>
      <c r="I111" s="3"/>
      <c r="J111" s="1"/>
      <c r="K111" s="18"/>
      <c r="L111" s="37"/>
      <c r="M111" s="3"/>
      <c r="N111" s="1"/>
      <c r="O111" s="18"/>
      <c r="P111" s="18"/>
      <c r="Q111" s="3"/>
      <c r="R111" s="1"/>
      <c r="S111" s="18"/>
      <c r="T111" s="18"/>
      <c r="U111" s="3"/>
      <c r="V111" s="1"/>
      <c r="W111" s="18"/>
      <c r="X111" s="18"/>
      <c r="Y111" s="3"/>
      <c r="Z111" s="1"/>
      <c r="AR111" s="2"/>
    </row>
    <row r="112" spans="2:44" ht="16" x14ac:dyDescent="0.2">
      <c r="B112" s="18"/>
      <c r="C112" s="18"/>
      <c r="D112" s="37"/>
      <c r="E112" s="3"/>
      <c r="F112" s="1"/>
      <c r="G112" s="18"/>
      <c r="H112" s="37"/>
      <c r="I112" s="3"/>
      <c r="J112" s="1"/>
      <c r="K112" s="18"/>
      <c r="L112" s="37"/>
      <c r="M112" s="3"/>
      <c r="N112" s="1"/>
      <c r="O112" s="18"/>
      <c r="P112" s="18"/>
      <c r="Q112" s="3"/>
      <c r="R112" s="1"/>
      <c r="S112" s="18"/>
      <c r="T112" s="18"/>
      <c r="U112" s="3"/>
      <c r="V112" s="1"/>
      <c r="W112" s="18"/>
      <c r="X112" s="18"/>
      <c r="Y112" s="3"/>
      <c r="Z112" s="1"/>
      <c r="AR112" s="2"/>
    </row>
    <row r="113" spans="2:44" ht="16" x14ac:dyDescent="0.2">
      <c r="B113" s="18"/>
      <c r="C113" s="18"/>
      <c r="D113" s="37"/>
      <c r="E113" s="3"/>
      <c r="F113" s="1"/>
      <c r="G113" s="18"/>
      <c r="H113" s="37"/>
      <c r="I113" s="3"/>
      <c r="J113" s="1"/>
      <c r="K113" s="18"/>
      <c r="L113" s="37"/>
      <c r="M113" s="3"/>
      <c r="N113" s="1"/>
      <c r="O113" s="18"/>
      <c r="P113" s="18"/>
      <c r="Q113" s="3"/>
      <c r="R113" s="1"/>
      <c r="S113" s="18"/>
      <c r="T113" s="18"/>
      <c r="U113" s="3"/>
      <c r="V113" s="1"/>
      <c r="W113" s="18"/>
      <c r="X113" s="18"/>
      <c r="Y113" s="3"/>
      <c r="Z113" s="1"/>
      <c r="AR113" s="2"/>
    </row>
    <row r="114" spans="2:44" ht="16" x14ac:dyDescent="0.2">
      <c r="B114" s="18"/>
      <c r="C114" s="18"/>
      <c r="D114" s="37"/>
      <c r="E114" s="3"/>
      <c r="F114" s="1"/>
      <c r="G114" s="18"/>
      <c r="H114" s="37"/>
      <c r="I114" s="3"/>
      <c r="J114" s="1"/>
      <c r="K114" s="37"/>
      <c r="L114" s="37"/>
      <c r="M114" s="3"/>
      <c r="N114" s="1"/>
      <c r="O114" s="18"/>
      <c r="P114" s="18"/>
      <c r="Q114" s="3"/>
      <c r="R114" s="1"/>
      <c r="S114" s="18"/>
      <c r="T114" s="18"/>
      <c r="U114" s="3"/>
      <c r="V114" s="1"/>
      <c r="W114" s="18"/>
      <c r="X114" s="18"/>
      <c r="Y114" s="3"/>
      <c r="Z114" s="1"/>
      <c r="AR114" s="2"/>
    </row>
    <row r="115" spans="2:44" ht="16" x14ac:dyDescent="0.2">
      <c r="B115" s="18"/>
      <c r="C115" s="18"/>
      <c r="D115" s="37"/>
      <c r="E115" s="3"/>
      <c r="F115" s="1"/>
      <c r="G115" s="18"/>
      <c r="H115" s="37"/>
      <c r="I115" s="3"/>
      <c r="J115" s="1"/>
      <c r="K115" s="18"/>
      <c r="L115" s="37"/>
      <c r="M115" s="3"/>
      <c r="N115" s="1"/>
      <c r="O115" s="18"/>
      <c r="P115" s="18"/>
      <c r="Q115" s="3"/>
      <c r="R115" s="1"/>
      <c r="S115" s="18"/>
      <c r="T115" s="18"/>
      <c r="U115" s="3"/>
      <c r="V115" s="1"/>
      <c r="W115" s="18"/>
      <c r="X115" s="18"/>
      <c r="Y115" s="3"/>
      <c r="Z115" s="1"/>
      <c r="AR115" s="2"/>
    </row>
    <row r="116" spans="2:44" ht="16" x14ac:dyDescent="0.2">
      <c r="B116" s="18"/>
      <c r="C116" s="18"/>
      <c r="D116" s="37"/>
      <c r="E116" s="3"/>
      <c r="F116" s="1"/>
      <c r="G116" s="18"/>
      <c r="H116" s="37"/>
      <c r="I116" s="3"/>
      <c r="J116" s="1"/>
      <c r="K116" s="18"/>
      <c r="L116" s="37"/>
      <c r="M116" s="3"/>
      <c r="N116" s="1"/>
      <c r="O116" s="18"/>
      <c r="P116" s="18"/>
      <c r="Q116" s="3"/>
      <c r="R116" s="1"/>
      <c r="S116" s="18"/>
      <c r="T116" s="18"/>
      <c r="U116" s="3"/>
      <c r="V116" s="1"/>
      <c r="W116" s="18"/>
      <c r="X116" s="18"/>
      <c r="Y116" s="3"/>
      <c r="Z116" s="1"/>
      <c r="AR116" s="2"/>
    </row>
    <row r="117" spans="2:44" ht="16" x14ac:dyDescent="0.2">
      <c r="B117" s="18"/>
      <c r="C117" s="18"/>
      <c r="D117" s="37"/>
      <c r="E117" s="3"/>
      <c r="F117" s="1"/>
      <c r="G117" s="18"/>
      <c r="H117" s="37"/>
      <c r="I117" s="3"/>
      <c r="J117" s="1"/>
      <c r="K117" s="18"/>
      <c r="L117" s="37"/>
      <c r="M117" s="3"/>
      <c r="N117" s="1"/>
      <c r="O117" s="18"/>
      <c r="P117" s="18"/>
      <c r="Q117" s="3"/>
      <c r="R117" s="1"/>
      <c r="S117" s="18"/>
      <c r="T117" s="18"/>
      <c r="U117" s="3"/>
      <c r="V117" s="1"/>
      <c r="W117" s="18"/>
      <c r="X117" s="18"/>
      <c r="Y117" s="3"/>
      <c r="Z117" s="1"/>
      <c r="AR117" s="2"/>
    </row>
    <row r="118" spans="2:44" ht="16" x14ac:dyDescent="0.2">
      <c r="B118" s="18"/>
      <c r="C118" s="18"/>
      <c r="D118" s="37"/>
      <c r="E118" s="3"/>
      <c r="F118" s="1"/>
      <c r="G118" s="18"/>
      <c r="H118" s="37"/>
      <c r="I118" s="3"/>
      <c r="J118" s="1"/>
      <c r="K118" s="18"/>
      <c r="L118" s="37"/>
      <c r="M118" s="3"/>
      <c r="N118" s="1"/>
      <c r="O118" s="18"/>
      <c r="P118" s="18"/>
      <c r="Q118" s="3"/>
      <c r="R118" s="1"/>
      <c r="S118" s="18"/>
      <c r="T118" s="18"/>
      <c r="U118" s="3"/>
      <c r="V118" s="1"/>
      <c r="W118" s="18"/>
      <c r="X118" s="18"/>
      <c r="Y118" s="3"/>
      <c r="Z118" s="1"/>
      <c r="AR118" s="2"/>
    </row>
    <row r="119" spans="2:44" ht="16" x14ac:dyDescent="0.2">
      <c r="B119" s="18"/>
      <c r="C119" s="37"/>
      <c r="D119" s="37"/>
      <c r="E119" s="3"/>
      <c r="F119" s="1"/>
      <c r="G119" s="37"/>
      <c r="H119" s="37"/>
      <c r="I119" s="3"/>
      <c r="J119" s="1"/>
      <c r="K119" s="37"/>
      <c r="L119" s="37"/>
      <c r="M119" s="3"/>
      <c r="N119" s="1"/>
      <c r="O119" s="18"/>
      <c r="P119" s="18"/>
      <c r="Q119" s="3"/>
      <c r="R119" s="1"/>
      <c r="S119" s="18"/>
      <c r="T119" s="18"/>
      <c r="U119" s="3"/>
      <c r="V119" s="1"/>
      <c r="W119" s="18"/>
      <c r="X119" s="18"/>
      <c r="Y119" s="3"/>
      <c r="Z119" s="1"/>
      <c r="AB119" s="28"/>
      <c r="AC119" s="28"/>
      <c r="AD119" s="28"/>
      <c r="AR119" s="2"/>
    </row>
    <row r="120" spans="2:44" ht="16" x14ac:dyDescent="0.2">
      <c r="B120" s="18"/>
      <c r="C120" s="18"/>
      <c r="D120" s="37"/>
      <c r="E120" s="3"/>
      <c r="F120" s="1"/>
      <c r="G120" s="18"/>
      <c r="H120" s="37"/>
      <c r="I120" s="3"/>
      <c r="J120" s="1"/>
      <c r="K120" s="18"/>
      <c r="L120" s="37"/>
      <c r="M120" s="3"/>
      <c r="N120" s="1"/>
      <c r="O120" s="18"/>
      <c r="P120" s="18"/>
      <c r="Q120" s="3"/>
      <c r="R120" s="1"/>
      <c r="S120" s="18"/>
      <c r="T120" s="18"/>
      <c r="U120" s="3"/>
      <c r="V120" s="1"/>
      <c r="W120" s="18"/>
      <c r="X120" s="18"/>
      <c r="Y120" s="3"/>
      <c r="Z120" s="1"/>
      <c r="AR120" s="2"/>
    </row>
    <row r="121" spans="2:44" ht="16" x14ac:dyDescent="0.2">
      <c r="B121" s="18"/>
      <c r="C121" s="18"/>
      <c r="D121" s="37"/>
      <c r="E121" s="3"/>
      <c r="F121" s="1"/>
      <c r="G121" s="18"/>
      <c r="H121" s="37"/>
      <c r="I121" s="3"/>
      <c r="J121" s="1"/>
      <c r="K121" s="18"/>
      <c r="L121" s="37"/>
      <c r="M121" s="3"/>
      <c r="N121" s="1"/>
      <c r="O121" s="18"/>
      <c r="P121" s="18"/>
      <c r="Q121" s="3"/>
      <c r="R121" s="1"/>
      <c r="S121" s="18"/>
      <c r="T121" s="18"/>
      <c r="U121" s="3"/>
      <c r="V121" s="1"/>
      <c r="W121" s="18"/>
      <c r="X121" s="18"/>
      <c r="Y121" s="3"/>
      <c r="Z121" s="1"/>
      <c r="AR121" s="2"/>
    </row>
    <row r="122" spans="2:44" ht="16" x14ac:dyDescent="0.2">
      <c r="B122" s="18"/>
      <c r="C122" s="18"/>
      <c r="D122" s="37"/>
      <c r="E122" s="3"/>
      <c r="F122" s="1"/>
      <c r="G122" s="18"/>
      <c r="H122" s="37"/>
      <c r="I122" s="3"/>
      <c r="J122" s="1"/>
      <c r="K122" s="18"/>
      <c r="L122" s="37"/>
      <c r="M122" s="3"/>
      <c r="N122" s="1"/>
      <c r="O122" s="18"/>
      <c r="P122" s="18"/>
      <c r="Q122" s="3"/>
      <c r="R122" s="1"/>
      <c r="S122" s="18"/>
      <c r="T122" s="18"/>
      <c r="U122" s="3"/>
      <c r="V122" s="1"/>
      <c r="W122" s="18"/>
      <c r="X122" s="18"/>
      <c r="Y122" s="3"/>
      <c r="Z122" s="1"/>
      <c r="AR122" s="2"/>
    </row>
    <row r="123" spans="2:44" ht="16" x14ac:dyDescent="0.2">
      <c r="B123" s="18"/>
      <c r="C123" s="37"/>
      <c r="D123" s="37"/>
      <c r="E123" s="3"/>
      <c r="F123" s="1"/>
      <c r="G123" s="37"/>
      <c r="H123" s="37"/>
      <c r="I123" s="3"/>
      <c r="J123" s="1"/>
      <c r="K123" s="37"/>
      <c r="L123" s="37"/>
      <c r="M123" s="3"/>
      <c r="N123" s="1"/>
      <c r="O123" s="18"/>
      <c r="P123" s="18"/>
      <c r="Q123" s="3"/>
      <c r="R123" s="1"/>
      <c r="S123" s="18"/>
      <c r="T123" s="18"/>
      <c r="U123" s="3"/>
      <c r="V123" s="1"/>
      <c r="W123" s="18"/>
      <c r="X123" s="18"/>
      <c r="Y123" s="3"/>
      <c r="Z123" s="1"/>
      <c r="AB123" s="28"/>
      <c r="AC123" s="28"/>
      <c r="AD123" s="28"/>
      <c r="AR123" s="2"/>
    </row>
    <row r="124" spans="2:44" ht="16" x14ac:dyDescent="0.2">
      <c r="B124" s="18"/>
      <c r="C124" s="18"/>
      <c r="D124" s="37"/>
      <c r="E124" s="3"/>
      <c r="F124" s="1"/>
      <c r="G124" s="18"/>
      <c r="H124" s="37"/>
      <c r="I124" s="3"/>
      <c r="J124" s="1"/>
      <c r="K124" s="18"/>
      <c r="L124" s="37"/>
      <c r="M124" s="3"/>
      <c r="N124" s="1"/>
      <c r="O124" s="18"/>
      <c r="P124" s="18"/>
      <c r="Q124" s="3"/>
      <c r="R124" s="1"/>
      <c r="S124" s="18"/>
      <c r="T124" s="18"/>
      <c r="U124" s="3"/>
      <c r="V124" s="1"/>
      <c r="W124" s="18"/>
      <c r="X124" s="18"/>
      <c r="Y124" s="3"/>
      <c r="Z124" s="1"/>
      <c r="AR124" s="2"/>
    </row>
    <row r="125" spans="2:44" ht="16" x14ac:dyDescent="0.2">
      <c r="B125" s="18"/>
      <c r="C125" s="18"/>
      <c r="D125" s="37"/>
      <c r="E125" s="3"/>
      <c r="F125" s="1"/>
      <c r="G125" s="18"/>
      <c r="H125" s="37"/>
      <c r="I125" s="3"/>
      <c r="J125" s="1"/>
      <c r="K125" s="18"/>
      <c r="L125" s="37"/>
      <c r="M125" s="3"/>
      <c r="N125" s="1"/>
      <c r="O125" s="18"/>
      <c r="P125" s="18"/>
      <c r="Q125" s="3"/>
      <c r="R125" s="1"/>
      <c r="S125" s="18"/>
      <c r="T125" s="18"/>
      <c r="U125" s="3"/>
      <c r="V125" s="1"/>
      <c r="W125" s="18"/>
      <c r="X125" s="18"/>
      <c r="Y125" s="3"/>
      <c r="Z125" s="1"/>
      <c r="AR125" s="2"/>
    </row>
    <row r="126" spans="2:44" ht="16" x14ac:dyDescent="0.2">
      <c r="B126" s="18"/>
      <c r="C126" s="18"/>
      <c r="D126" s="37"/>
      <c r="E126" s="3"/>
      <c r="F126" s="1"/>
      <c r="G126" s="18"/>
      <c r="H126" s="37"/>
      <c r="I126" s="3"/>
      <c r="J126" s="1"/>
      <c r="K126" s="18"/>
      <c r="L126" s="37"/>
      <c r="M126" s="3"/>
      <c r="N126" s="1"/>
      <c r="O126" s="18"/>
      <c r="P126" s="18"/>
      <c r="Q126" s="3"/>
      <c r="R126" s="1"/>
      <c r="S126" s="18"/>
      <c r="T126" s="18"/>
      <c r="U126" s="3"/>
      <c r="V126" s="1"/>
      <c r="W126" s="18"/>
      <c r="X126" s="18"/>
      <c r="Y126" s="3"/>
      <c r="Z126" s="1"/>
      <c r="AR126" s="2"/>
    </row>
    <row r="127" spans="2:44" ht="16" x14ac:dyDescent="0.2">
      <c r="B127" s="18"/>
      <c r="C127" s="18"/>
      <c r="D127" s="37"/>
      <c r="E127" s="3"/>
      <c r="F127" s="1"/>
      <c r="G127" s="18"/>
      <c r="H127" s="37"/>
      <c r="I127" s="3"/>
      <c r="J127" s="1"/>
      <c r="K127" s="18"/>
      <c r="L127" s="37"/>
      <c r="M127" s="3"/>
      <c r="N127" s="1"/>
      <c r="O127" s="18"/>
      <c r="P127" s="18"/>
      <c r="Q127" s="3"/>
      <c r="R127" s="1"/>
      <c r="S127" s="18"/>
      <c r="T127" s="18"/>
      <c r="U127" s="3"/>
      <c r="V127" s="1"/>
      <c r="W127" s="18"/>
      <c r="X127" s="18"/>
      <c r="Y127" s="3"/>
      <c r="Z127" s="1"/>
      <c r="AR127" s="2"/>
    </row>
    <row r="128" spans="2:44" ht="16" x14ac:dyDescent="0.2">
      <c r="B128" s="18"/>
      <c r="C128" s="18"/>
      <c r="D128" s="37"/>
      <c r="E128" s="3"/>
      <c r="F128" s="1"/>
      <c r="G128" s="18"/>
      <c r="H128" s="37"/>
      <c r="I128" s="3"/>
      <c r="J128" s="1"/>
      <c r="K128" s="18"/>
      <c r="L128" s="37"/>
      <c r="M128" s="3"/>
      <c r="N128" s="1"/>
      <c r="O128" s="18"/>
      <c r="P128" s="18"/>
      <c r="Q128" s="3"/>
      <c r="R128" s="1"/>
      <c r="S128" s="18"/>
      <c r="T128" s="18"/>
      <c r="U128" s="3"/>
      <c r="V128" s="1"/>
      <c r="W128" s="18"/>
      <c r="X128" s="18"/>
      <c r="Y128" s="3"/>
      <c r="Z128" s="1"/>
      <c r="AR128" s="2"/>
    </row>
  </sheetData>
  <mergeCells count="10">
    <mergeCell ref="AA10:AD10"/>
    <mergeCell ref="AE10:AH10"/>
    <mergeCell ref="AI10:AL10"/>
    <mergeCell ref="AM10:AP10"/>
    <mergeCell ref="C10:F10"/>
    <mergeCell ref="G10:J10"/>
    <mergeCell ref="K10:N10"/>
    <mergeCell ref="O10:R10"/>
    <mergeCell ref="S10:V10"/>
    <mergeCell ref="W10:Z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6699C-EBAB-AA48-86C9-6E87EEFFE079}">
  <dimension ref="B2:O33"/>
  <sheetViews>
    <sheetView workbookViewId="0">
      <selection activeCell="B5" sqref="B5"/>
    </sheetView>
  </sheetViews>
  <sheetFormatPr baseColWidth="10" defaultRowHeight="15" x14ac:dyDescent="0.2"/>
  <cols>
    <col min="2" max="2" width="31.83203125" bestFit="1" customWidth="1"/>
    <col min="3" max="3" width="8.83203125" bestFit="1" customWidth="1"/>
    <col min="4" max="4" width="11.83203125" bestFit="1" customWidth="1"/>
    <col min="5" max="5" width="10.83203125" bestFit="1" customWidth="1"/>
    <col min="6" max="6" width="5.6640625" bestFit="1" customWidth="1"/>
    <col min="7" max="7" width="10.1640625" customWidth="1"/>
    <col min="8" max="8" width="8.83203125" customWidth="1"/>
    <col min="9" max="9" width="9.6640625" bestFit="1" customWidth="1"/>
    <col min="10" max="10" width="4.6640625" bestFit="1" customWidth="1"/>
    <col min="11" max="11" width="7.1640625" customWidth="1"/>
  </cols>
  <sheetData>
    <row r="2" spans="2:15" ht="16" x14ac:dyDescent="0.2">
      <c r="B2" s="11" t="s">
        <v>309</v>
      </c>
      <c r="C2" s="11" t="s">
        <v>312</v>
      </c>
      <c r="D2" s="11" t="s">
        <v>0</v>
      </c>
      <c r="E2" s="11" t="s">
        <v>313</v>
      </c>
      <c r="F2" s="11" t="s">
        <v>4</v>
      </c>
    </row>
    <row r="3" spans="2:15" ht="16" x14ac:dyDescent="0.2">
      <c r="B3" s="10" t="str">
        <f>C6</f>
        <v>No</v>
      </c>
      <c r="C3" s="4">
        <f>AVERAGE(C8:C33)</f>
        <v>160.07692307692307</v>
      </c>
      <c r="D3" s="13">
        <f>AVERAGE(D8:D33)</f>
        <v>6.462230776579907</v>
      </c>
      <c r="E3" s="6">
        <f>AVERAGE(E8:E33)</f>
        <v>2.0703628513736271E-2</v>
      </c>
      <c r="F3" s="7">
        <f>SUM(F8:F33)</f>
        <v>12</v>
      </c>
    </row>
    <row r="4" spans="2:15" ht="16" x14ac:dyDescent="0.2">
      <c r="B4" s="11" t="str">
        <f>G6</f>
        <v>Yes</v>
      </c>
      <c r="C4" s="5">
        <f>AVERAGE(G8:G33)</f>
        <v>154.30769230769232</v>
      </c>
      <c r="D4" s="12">
        <f t="shared" ref="D4:E4" si="0">AVERAGE(H8:H33)</f>
        <v>5.6006922671356456</v>
      </c>
      <c r="E4" s="8">
        <f t="shared" si="0"/>
        <v>0</v>
      </c>
      <c r="F4" s="14">
        <f>SUM(J8:J33)</f>
        <v>26</v>
      </c>
    </row>
    <row r="6" spans="2:15" ht="16" x14ac:dyDescent="0.2">
      <c r="C6" s="41" t="s">
        <v>310</v>
      </c>
      <c r="D6" s="41"/>
      <c r="E6" s="41"/>
      <c r="F6" s="41"/>
      <c r="G6" s="47" t="s">
        <v>311</v>
      </c>
      <c r="H6" s="47"/>
      <c r="I6" s="47"/>
      <c r="J6" s="47"/>
      <c r="K6" s="30"/>
      <c r="L6" s="40"/>
      <c r="M6" s="40"/>
    </row>
    <row r="7" spans="2:15" ht="16" x14ac:dyDescent="0.2">
      <c r="B7" s="1" t="s">
        <v>5</v>
      </c>
      <c r="C7" s="1" t="s">
        <v>1</v>
      </c>
      <c r="D7" s="1" t="s">
        <v>0</v>
      </c>
      <c r="E7" s="1" t="s">
        <v>2</v>
      </c>
      <c r="F7" s="1" t="s">
        <v>3</v>
      </c>
      <c r="G7" s="1" t="s">
        <v>1</v>
      </c>
      <c r="H7" s="1" t="s">
        <v>0</v>
      </c>
      <c r="I7" s="1" t="s">
        <v>2</v>
      </c>
      <c r="J7" s="1" t="s">
        <v>3</v>
      </c>
      <c r="K7" s="2"/>
      <c r="L7" s="2"/>
      <c r="M7" s="2"/>
      <c r="O7" s="2" t="s">
        <v>4</v>
      </c>
    </row>
    <row r="8" spans="2:15" ht="16" x14ac:dyDescent="0.2">
      <c r="B8" s="18" t="s">
        <v>6</v>
      </c>
      <c r="C8">
        <v>545</v>
      </c>
      <c r="D8">
        <v>0.92500001192092896</v>
      </c>
      <c r="E8" s="3">
        <f t="shared" ref="E8:E33" si="1">(C8-$O8)/$O8</f>
        <v>2.4436090225563908E-2</v>
      </c>
      <c r="F8" s="1">
        <f t="shared" ref="F8:F33" si="2">IF(C8=$O8,1,0)</f>
        <v>0</v>
      </c>
      <c r="G8" s="18">
        <v>532</v>
      </c>
      <c r="H8" s="18">
        <v>1.7039999961853027</v>
      </c>
      <c r="I8" s="3">
        <f t="shared" ref="I8:I33" si="3">(G8-$O8)/$O8</f>
        <v>0</v>
      </c>
      <c r="J8" s="1">
        <f t="shared" ref="J8:J33" si="4">IF(G8=$O8,1,0)</f>
        <v>1</v>
      </c>
      <c r="L8" s="9"/>
      <c r="M8" s="2"/>
      <c r="O8" s="2">
        <f>MIN(C8,G8)</f>
        <v>532</v>
      </c>
    </row>
    <row r="9" spans="2:15" ht="16" x14ac:dyDescent="0.2">
      <c r="B9" s="18" t="s">
        <v>7</v>
      </c>
      <c r="C9">
        <v>164</v>
      </c>
      <c r="D9">
        <v>0.51499998569488525</v>
      </c>
      <c r="E9" s="3">
        <f t="shared" si="1"/>
        <v>1.8633540372670808E-2</v>
      </c>
      <c r="F9" s="1">
        <f t="shared" si="2"/>
        <v>0</v>
      </c>
      <c r="G9" s="18">
        <v>161</v>
      </c>
      <c r="H9" s="18">
        <v>0.16500000655651093</v>
      </c>
      <c r="I9" s="3">
        <f t="shared" si="3"/>
        <v>0</v>
      </c>
      <c r="J9" s="1">
        <f t="shared" si="4"/>
        <v>1</v>
      </c>
      <c r="L9" s="9"/>
      <c r="M9" s="2"/>
      <c r="O9" s="2">
        <f t="shared" ref="O9:O33" si="5">MIN(C9,G9)</f>
        <v>161</v>
      </c>
    </row>
    <row r="10" spans="2:15" ht="16" x14ac:dyDescent="0.2">
      <c r="B10" s="18" t="s">
        <v>8</v>
      </c>
      <c r="C10">
        <v>184</v>
      </c>
      <c r="D10">
        <v>0.28700000047683716</v>
      </c>
      <c r="E10" s="3">
        <f t="shared" si="1"/>
        <v>2.2222222222222223E-2</v>
      </c>
      <c r="F10" s="1">
        <f t="shared" si="2"/>
        <v>0</v>
      </c>
      <c r="G10" s="18">
        <v>180</v>
      </c>
      <c r="H10" s="18">
        <v>0.35600000619888306</v>
      </c>
      <c r="I10" s="3">
        <f t="shared" si="3"/>
        <v>0</v>
      </c>
      <c r="J10" s="1">
        <f t="shared" si="4"/>
        <v>1</v>
      </c>
      <c r="L10" s="9"/>
      <c r="M10" s="2"/>
      <c r="O10" s="2">
        <f t="shared" si="5"/>
        <v>180</v>
      </c>
    </row>
    <row r="11" spans="2:15" ht="16" x14ac:dyDescent="0.2">
      <c r="B11" s="18" t="s">
        <v>9</v>
      </c>
      <c r="C11">
        <v>18</v>
      </c>
      <c r="D11">
        <v>1.4000000432133675E-2</v>
      </c>
      <c r="E11" s="3">
        <f t="shared" si="1"/>
        <v>0</v>
      </c>
      <c r="F11" s="1">
        <f t="shared" si="2"/>
        <v>1</v>
      </c>
      <c r="G11" s="18">
        <v>18</v>
      </c>
      <c r="H11" s="18">
        <v>1.4999999664723873E-2</v>
      </c>
      <c r="I11" s="3">
        <f t="shared" si="3"/>
        <v>0</v>
      </c>
      <c r="J11" s="1">
        <f t="shared" si="4"/>
        <v>1</v>
      </c>
      <c r="L11" s="9"/>
      <c r="M11" s="2"/>
      <c r="O11" s="2">
        <f t="shared" si="5"/>
        <v>18</v>
      </c>
    </row>
    <row r="12" spans="2:15" ht="16" x14ac:dyDescent="0.2">
      <c r="B12" s="18" t="s">
        <v>10</v>
      </c>
      <c r="C12">
        <v>349</v>
      </c>
      <c r="D12">
        <v>10.456999778747559</v>
      </c>
      <c r="E12" s="3">
        <f t="shared" si="1"/>
        <v>4.8048048048048048E-2</v>
      </c>
      <c r="F12" s="1">
        <f t="shared" si="2"/>
        <v>0</v>
      </c>
      <c r="G12" s="18">
        <v>333</v>
      </c>
      <c r="H12" s="18">
        <v>11.928999900817871</v>
      </c>
      <c r="I12" s="3">
        <f t="shared" si="3"/>
        <v>0</v>
      </c>
      <c r="J12" s="1">
        <f t="shared" si="4"/>
        <v>1</v>
      </c>
      <c r="L12" s="9"/>
      <c r="M12" s="2"/>
      <c r="O12" s="2">
        <f t="shared" si="5"/>
        <v>333</v>
      </c>
    </row>
    <row r="13" spans="2:15" ht="16" x14ac:dyDescent="0.2">
      <c r="B13" s="18" t="s">
        <v>11</v>
      </c>
      <c r="C13">
        <v>57</v>
      </c>
      <c r="D13">
        <v>6.1999998986721039E-2</v>
      </c>
      <c r="E13" s="3">
        <f t="shared" si="1"/>
        <v>0</v>
      </c>
      <c r="F13" s="1">
        <f t="shared" si="2"/>
        <v>1</v>
      </c>
      <c r="G13" s="18">
        <v>57</v>
      </c>
      <c r="H13" s="18">
        <v>6.4000003039836884E-2</v>
      </c>
      <c r="I13" s="3">
        <f t="shared" si="3"/>
        <v>0</v>
      </c>
      <c r="J13" s="1">
        <f t="shared" si="4"/>
        <v>1</v>
      </c>
      <c r="L13" s="9"/>
      <c r="M13" s="2"/>
      <c r="O13" s="2">
        <f t="shared" si="5"/>
        <v>57</v>
      </c>
    </row>
    <row r="14" spans="2:15" ht="16" x14ac:dyDescent="0.2">
      <c r="B14" s="18" t="s">
        <v>12</v>
      </c>
      <c r="C14">
        <v>26</v>
      </c>
      <c r="D14">
        <v>4.5830001831054688</v>
      </c>
      <c r="E14" s="3">
        <f t="shared" si="1"/>
        <v>0</v>
      </c>
      <c r="F14" s="1">
        <f t="shared" si="2"/>
        <v>1</v>
      </c>
      <c r="G14" s="18">
        <v>26</v>
      </c>
      <c r="H14" s="18">
        <v>4.6979999542236328</v>
      </c>
      <c r="I14" s="3">
        <f t="shared" si="3"/>
        <v>0</v>
      </c>
      <c r="J14" s="1">
        <f t="shared" si="4"/>
        <v>1</v>
      </c>
      <c r="L14" s="9"/>
      <c r="M14" s="2"/>
      <c r="O14" s="2">
        <f t="shared" si="5"/>
        <v>26</v>
      </c>
    </row>
    <row r="15" spans="2:15" ht="16" x14ac:dyDescent="0.2">
      <c r="B15" s="18" t="s">
        <v>13</v>
      </c>
      <c r="C15">
        <v>321</v>
      </c>
      <c r="D15">
        <v>59.395999908447266</v>
      </c>
      <c r="E15" s="3">
        <f t="shared" si="1"/>
        <v>9.9315068493150679E-2</v>
      </c>
      <c r="F15" s="1">
        <f t="shared" si="2"/>
        <v>0</v>
      </c>
      <c r="G15" s="18">
        <v>292</v>
      </c>
      <c r="H15" s="18">
        <v>36.972999572753906</v>
      </c>
      <c r="I15" s="3">
        <f t="shared" si="3"/>
        <v>0</v>
      </c>
      <c r="J15" s="1">
        <f t="shared" si="4"/>
        <v>1</v>
      </c>
      <c r="L15" s="9"/>
      <c r="M15" s="2"/>
      <c r="O15" s="2">
        <f t="shared" si="5"/>
        <v>292</v>
      </c>
    </row>
    <row r="16" spans="2:15" ht="16" x14ac:dyDescent="0.2">
      <c r="B16" s="18" t="s">
        <v>14</v>
      </c>
      <c r="C16">
        <v>152</v>
      </c>
      <c r="D16">
        <v>0.78799998760223389</v>
      </c>
      <c r="E16" s="3">
        <f t="shared" si="1"/>
        <v>2.0134228187919462E-2</v>
      </c>
      <c r="F16" s="1">
        <f t="shared" si="2"/>
        <v>0</v>
      </c>
      <c r="G16" s="18">
        <v>149</v>
      </c>
      <c r="H16" s="18">
        <v>0.43900001049041748</v>
      </c>
      <c r="I16" s="3">
        <f t="shared" si="3"/>
        <v>0</v>
      </c>
      <c r="J16" s="1">
        <f t="shared" si="4"/>
        <v>1</v>
      </c>
      <c r="L16" s="9"/>
      <c r="M16" s="2"/>
      <c r="O16" s="2">
        <f t="shared" si="5"/>
        <v>149</v>
      </c>
    </row>
    <row r="17" spans="2:15" ht="16" x14ac:dyDescent="0.2">
      <c r="B17" s="18" t="s">
        <v>15</v>
      </c>
      <c r="C17">
        <v>43</v>
      </c>
      <c r="D17">
        <v>6.0000000521540642E-3</v>
      </c>
      <c r="E17" s="3">
        <f t="shared" si="1"/>
        <v>0</v>
      </c>
      <c r="F17" s="1">
        <f t="shared" si="2"/>
        <v>1</v>
      </c>
      <c r="G17" s="18">
        <v>43</v>
      </c>
      <c r="H17" s="18">
        <v>4.999999888241291E-3</v>
      </c>
      <c r="I17" s="3">
        <f t="shared" si="3"/>
        <v>0</v>
      </c>
      <c r="J17" s="1">
        <f t="shared" si="4"/>
        <v>1</v>
      </c>
      <c r="L17" s="9"/>
      <c r="M17" s="2"/>
      <c r="O17" s="2">
        <f t="shared" si="5"/>
        <v>43</v>
      </c>
    </row>
    <row r="18" spans="2:15" ht="16" x14ac:dyDescent="0.2">
      <c r="B18" s="18" t="s">
        <v>16</v>
      </c>
      <c r="C18">
        <v>18</v>
      </c>
      <c r="D18">
        <v>8.9119997024536133</v>
      </c>
      <c r="E18" s="3">
        <f t="shared" si="1"/>
        <v>0</v>
      </c>
      <c r="F18" s="1">
        <f t="shared" si="2"/>
        <v>1</v>
      </c>
      <c r="G18" s="18">
        <v>18</v>
      </c>
      <c r="H18" s="18">
        <v>9.2220001220703125</v>
      </c>
      <c r="I18" s="3">
        <f t="shared" si="3"/>
        <v>0</v>
      </c>
      <c r="J18" s="1">
        <f t="shared" si="4"/>
        <v>1</v>
      </c>
      <c r="L18" s="9"/>
      <c r="M18" s="2"/>
      <c r="O18" s="2">
        <f t="shared" si="5"/>
        <v>18</v>
      </c>
    </row>
    <row r="19" spans="2:15" ht="16" x14ac:dyDescent="0.2">
      <c r="B19" s="18" t="s">
        <v>17</v>
      </c>
      <c r="C19">
        <v>3</v>
      </c>
      <c r="D19">
        <v>12.590000152587891</v>
      </c>
      <c r="E19" s="3">
        <f t="shared" si="1"/>
        <v>0</v>
      </c>
      <c r="F19" s="1">
        <f t="shared" si="2"/>
        <v>1</v>
      </c>
      <c r="G19" s="18">
        <v>3</v>
      </c>
      <c r="H19" s="18">
        <v>12.699000358581543</v>
      </c>
      <c r="I19" s="3">
        <f t="shared" si="3"/>
        <v>0</v>
      </c>
      <c r="J19" s="1">
        <f t="shared" si="4"/>
        <v>1</v>
      </c>
      <c r="L19" s="9"/>
      <c r="M19" s="2"/>
      <c r="O19" s="2">
        <f t="shared" si="5"/>
        <v>3</v>
      </c>
    </row>
    <row r="20" spans="2:15" ht="16" x14ac:dyDescent="0.2">
      <c r="B20" s="18" t="s">
        <v>18</v>
      </c>
      <c r="C20">
        <v>59</v>
      </c>
      <c r="D20">
        <v>0.18400000035762787</v>
      </c>
      <c r="E20" s="3">
        <f t="shared" si="1"/>
        <v>0</v>
      </c>
      <c r="F20" s="1">
        <f t="shared" si="2"/>
        <v>1</v>
      </c>
      <c r="G20" s="18">
        <v>59</v>
      </c>
      <c r="H20" s="18">
        <v>0.17399999499320984</v>
      </c>
      <c r="I20" s="3">
        <f t="shared" si="3"/>
        <v>0</v>
      </c>
      <c r="J20" s="1">
        <f t="shared" si="4"/>
        <v>1</v>
      </c>
      <c r="L20" s="9"/>
      <c r="M20" s="2"/>
      <c r="O20" s="2">
        <f t="shared" si="5"/>
        <v>59</v>
      </c>
    </row>
    <row r="21" spans="2:15" ht="16" x14ac:dyDescent="0.2">
      <c r="B21" s="18" t="s">
        <v>19</v>
      </c>
      <c r="C21">
        <v>338</v>
      </c>
      <c r="D21">
        <v>3.9830000400543213</v>
      </c>
      <c r="E21" s="3">
        <f t="shared" si="1"/>
        <v>4.3209876543209874E-2</v>
      </c>
      <c r="F21" s="1">
        <f t="shared" si="2"/>
        <v>0</v>
      </c>
      <c r="G21" s="18">
        <v>324</v>
      </c>
      <c r="H21" s="18">
        <v>1.809999942779541</v>
      </c>
      <c r="I21" s="3">
        <f t="shared" si="3"/>
        <v>0</v>
      </c>
      <c r="J21" s="1">
        <f t="shared" si="4"/>
        <v>1</v>
      </c>
      <c r="L21" s="9"/>
      <c r="M21" s="2"/>
      <c r="O21" s="2">
        <f t="shared" si="5"/>
        <v>324</v>
      </c>
    </row>
    <row r="22" spans="2:15" ht="16" x14ac:dyDescent="0.2">
      <c r="B22" s="18" t="s">
        <v>20</v>
      </c>
      <c r="C22">
        <v>536</v>
      </c>
      <c r="D22">
        <v>25.430999755859375</v>
      </c>
      <c r="E22" s="3">
        <f t="shared" si="1"/>
        <v>1.9011406844106463E-2</v>
      </c>
      <c r="F22" s="1">
        <f t="shared" si="2"/>
        <v>0</v>
      </c>
      <c r="G22" s="18">
        <v>526</v>
      </c>
      <c r="H22" s="18">
        <v>21.643999099731445</v>
      </c>
      <c r="I22" s="3">
        <f t="shared" si="3"/>
        <v>0</v>
      </c>
      <c r="J22" s="1">
        <f t="shared" si="4"/>
        <v>1</v>
      </c>
      <c r="L22" s="9"/>
      <c r="M22" s="2"/>
      <c r="O22" s="2">
        <f t="shared" si="5"/>
        <v>526</v>
      </c>
    </row>
    <row r="23" spans="2:15" ht="16" x14ac:dyDescent="0.2">
      <c r="B23" s="18" t="s">
        <v>21</v>
      </c>
      <c r="C23">
        <v>104</v>
      </c>
      <c r="D23">
        <v>33.367000579833984</v>
      </c>
      <c r="E23" s="3">
        <f t="shared" si="1"/>
        <v>1.9607843137254902E-2</v>
      </c>
      <c r="F23" s="1">
        <f t="shared" si="2"/>
        <v>0</v>
      </c>
      <c r="G23" s="18">
        <v>102</v>
      </c>
      <c r="H23" s="18">
        <v>34.847000122070312</v>
      </c>
      <c r="I23" s="3">
        <f t="shared" si="3"/>
        <v>0</v>
      </c>
      <c r="J23" s="1">
        <f t="shared" si="4"/>
        <v>1</v>
      </c>
      <c r="L23" s="9"/>
      <c r="M23" s="2"/>
      <c r="O23" s="2">
        <f t="shared" si="5"/>
        <v>102</v>
      </c>
    </row>
    <row r="24" spans="2:15" ht="16" x14ac:dyDescent="0.2">
      <c r="B24" s="18" t="s">
        <v>22</v>
      </c>
      <c r="C24">
        <v>19</v>
      </c>
      <c r="D24">
        <v>4.999999888241291E-3</v>
      </c>
      <c r="E24" s="3">
        <f t="shared" si="1"/>
        <v>0</v>
      </c>
      <c r="F24" s="1">
        <f t="shared" si="2"/>
        <v>1</v>
      </c>
      <c r="G24" s="18">
        <v>19</v>
      </c>
      <c r="H24" s="18">
        <v>6.0000000521540642E-3</v>
      </c>
      <c r="I24" s="3">
        <f t="shared" si="3"/>
        <v>0</v>
      </c>
      <c r="J24" s="1">
        <f t="shared" si="4"/>
        <v>1</v>
      </c>
      <c r="L24" s="9"/>
      <c r="M24" s="2"/>
      <c r="O24" s="2">
        <f t="shared" si="5"/>
        <v>19</v>
      </c>
    </row>
    <row r="25" spans="2:15" ht="16" x14ac:dyDescent="0.2">
      <c r="B25" s="18" t="s">
        <v>23</v>
      </c>
      <c r="C25">
        <v>39</v>
      </c>
      <c r="D25">
        <v>2.6630001068115234</v>
      </c>
      <c r="E25" s="3">
        <f t="shared" si="1"/>
        <v>0</v>
      </c>
      <c r="F25" s="1">
        <f t="shared" si="2"/>
        <v>1</v>
      </c>
      <c r="G25" s="18">
        <v>39</v>
      </c>
      <c r="H25" s="18">
        <v>2.6689999103546143</v>
      </c>
      <c r="I25" s="3">
        <f t="shared" si="3"/>
        <v>0</v>
      </c>
      <c r="J25" s="1">
        <f t="shared" si="4"/>
        <v>1</v>
      </c>
      <c r="L25" s="9"/>
      <c r="M25" s="2"/>
      <c r="O25" s="2">
        <f t="shared" si="5"/>
        <v>39</v>
      </c>
    </row>
    <row r="26" spans="2:15" ht="16" x14ac:dyDescent="0.2">
      <c r="B26" s="18" t="s">
        <v>24</v>
      </c>
      <c r="C26">
        <v>202</v>
      </c>
      <c r="D26">
        <v>0.69900000095367432</v>
      </c>
      <c r="E26" s="3">
        <f t="shared" si="1"/>
        <v>5.2083333333333336E-2</v>
      </c>
      <c r="F26" s="1">
        <f t="shared" si="2"/>
        <v>0</v>
      </c>
      <c r="G26" s="18">
        <v>192</v>
      </c>
      <c r="H26" s="18">
        <v>1.0410000085830688</v>
      </c>
      <c r="I26" s="3">
        <f t="shared" si="3"/>
        <v>0</v>
      </c>
      <c r="J26" s="1">
        <f t="shared" si="4"/>
        <v>1</v>
      </c>
      <c r="L26" s="9"/>
      <c r="M26" s="2"/>
      <c r="O26" s="2">
        <f t="shared" si="5"/>
        <v>192</v>
      </c>
    </row>
    <row r="27" spans="2:15" ht="16" x14ac:dyDescent="0.2">
      <c r="B27" s="18" t="s">
        <v>25</v>
      </c>
      <c r="C27">
        <v>541</v>
      </c>
      <c r="D27">
        <v>1.9539999961853027</v>
      </c>
      <c r="E27" s="3">
        <f t="shared" si="1"/>
        <v>6.9169960474308304E-2</v>
      </c>
      <c r="F27" s="1">
        <f t="shared" si="2"/>
        <v>0</v>
      </c>
      <c r="G27" s="18">
        <v>506</v>
      </c>
      <c r="H27" s="18">
        <v>3.9879999160766602</v>
      </c>
      <c r="I27" s="3">
        <f t="shared" si="3"/>
        <v>0</v>
      </c>
      <c r="J27" s="1">
        <f t="shared" si="4"/>
        <v>1</v>
      </c>
      <c r="L27" s="9"/>
      <c r="M27" s="2"/>
      <c r="O27" s="2">
        <f t="shared" si="5"/>
        <v>506</v>
      </c>
    </row>
    <row r="28" spans="2:15" ht="16" x14ac:dyDescent="0.2">
      <c r="B28" s="1" t="s">
        <v>26</v>
      </c>
      <c r="C28">
        <v>94</v>
      </c>
      <c r="D28">
        <v>9.3000002205371857E-2</v>
      </c>
      <c r="E28" s="3">
        <f t="shared" si="1"/>
        <v>0</v>
      </c>
      <c r="F28" s="1">
        <f t="shared" si="2"/>
        <v>1</v>
      </c>
      <c r="G28" s="18">
        <v>94</v>
      </c>
      <c r="H28" s="18">
        <v>8.7999999523162842E-2</v>
      </c>
      <c r="I28" s="3">
        <f t="shared" si="3"/>
        <v>0</v>
      </c>
      <c r="J28" s="1">
        <f t="shared" si="4"/>
        <v>1</v>
      </c>
      <c r="O28" s="2">
        <f t="shared" si="5"/>
        <v>94</v>
      </c>
    </row>
    <row r="29" spans="2:15" ht="16" x14ac:dyDescent="0.2">
      <c r="B29" s="18" t="s">
        <v>27</v>
      </c>
      <c r="C29">
        <v>141</v>
      </c>
      <c r="D29">
        <v>0.23899999260902405</v>
      </c>
      <c r="E29" s="3">
        <f t="shared" si="1"/>
        <v>4.4444444444444446E-2</v>
      </c>
      <c r="F29" s="1">
        <f t="shared" si="2"/>
        <v>0</v>
      </c>
      <c r="G29" s="18">
        <v>135</v>
      </c>
      <c r="H29" s="18">
        <v>0.18600000441074371</v>
      </c>
      <c r="I29" s="3">
        <f t="shared" si="3"/>
        <v>0</v>
      </c>
      <c r="J29" s="1">
        <f t="shared" si="4"/>
        <v>1</v>
      </c>
      <c r="O29" s="2">
        <f t="shared" si="5"/>
        <v>135</v>
      </c>
    </row>
    <row r="30" spans="2:15" ht="16" x14ac:dyDescent="0.2">
      <c r="B30" s="18" t="s">
        <v>28</v>
      </c>
      <c r="C30">
        <v>35</v>
      </c>
      <c r="D30">
        <v>0.61100000143051147</v>
      </c>
      <c r="E30" s="3">
        <f t="shared" si="1"/>
        <v>0</v>
      </c>
      <c r="F30" s="1">
        <f t="shared" si="2"/>
        <v>1</v>
      </c>
      <c r="G30" s="18">
        <v>35</v>
      </c>
      <c r="H30" s="18">
        <v>0.66100001335144043</v>
      </c>
      <c r="I30" s="3">
        <f t="shared" si="3"/>
        <v>0</v>
      </c>
      <c r="J30" s="1">
        <f t="shared" si="4"/>
        <v>1</v>
      </c>
      <c r="O30" s="2">
        <f t="shared" si="5"/>
        <v>35</v>
      </c>
    </row>
    <row r="31" spans="2:15" ht="16" x14ac:dyDescent="0.2">
      <c r="B31" s="18" t="s">
        <v>29</v>
      </c>
      <c r="C31">
        <v>64</v>
      </c>
      <c r="D31">
        <v>6.1999998986721039E-2</v>
      </c>
      <c r="E31" s="3">
        <f t="shared" si="1"/>
        <v>1.5873015873015872E-2</v>
      </c>
      <c r="F31" s="1">
        <f t="shared" si="2"/>
        <v>0</v>
      </c>
      <c r="G31" s="18">
        <v>63</v>
      </c>
      <c r="H31" s="18">
        <v>3.9999999105930328E-2</v>
      </c>
      <c r="I31" s="3">
        <f t="shared" si="3"/>
        <v>0</v>
      </c>
      <c r="J31" s="1">
        <f t="shared" si="4"/>
        <v>1</v>
      </c>
      <c r="O31" s="2">
        <f t="shared" si="5"/>
        <v>63</v>
      </c>
    </row>
    <row r="32" spans="2:15" ht="16" x14ac:dyDescent="0.2">
      <c r="B32" s="18" t="s">
        <v>30</v>
      </c>
      <c r="C32">
        <v>11</v>
      </c>
      <c r="D32">
        <v>1.9999999552965164E-2</v>
      </c>
      <c r="E32" s="3">
        <f t="shared" si="1"/>
        <v>0</v>
      </c>
      <c r="F32" s="1">
        <f t="shared" si="2"/>
        <v>1</v>
      </c>
      <c r="G32" s="18">
        <v>11</v>
      </c>
      <c r="H32" s="18">
        <v>1.7000000923871994E-2</v>
      </c>
      <c r="I32" s="3">
        <f t="shared" si="3"/>
        <v>0</v>
      </c>
      <c r="J32" s="1">
        <f t="shared" si="4"/>
        <v>1</v>
      </c>
      <c r="O32" s="2">
        <f t="shared" si="5"/>
        <v>11</v>
      </c>
    </row>
    <row r="33" spans="2:15" ht="16" x14ac:dyDescent="0.2">
      <c r="B33" s="18" t="s">
        <v>32</v>
      </c>
      <c r="C33">
        <v>99</v>
      </c>
      <c r="D33">
        <v>0.17200000584125519</v>
      </c>
      <c r="E33" s="3">
        <f t="shared" si="1"/>
        <v>4.2105263157894736E-2</v>
      </c>
      <c r="F33" s="1">
        <f t="shared" si="2"/>
        <v>0</v>
      </c>
      <c r="G33" s="18">
        <v>95</v>
      </c>
      <c r="H33" s="18">
        <v>0.17800000309944153</v>
      </c>
      <c r="I33" s="3">
        <f t="shared" si="3"/>
        <v>0</v>
      </c>
      <c r="J33" s="1">
        <f t="shared" si="4"/>
        <v>1</v>
      </c>
      <c r="O33" s="2">
        <f t="shared" si="5"/>
        <v>95</v>
      </c>
    </row>
  </sheetData>
  <mergeCells count="3">
    <mergeCell ref="C6:F6"/>
    <mergeCell ref="G6:J6"/>
    <mergeCell ref="L6:M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537C7-D4C0-FC4B-BB26-F48733686DD1}">
  <dimension ref="B2:AR41"/>
  <sheetViews>
    <sheetView workbookViewId="0">
      <selection activeCell="E3" sqref="E3"/>
    </sheetView>
  </sheetViews>
  <sheetFormatPr baseColWidth="10" defaultRowHeight="15" x14ac:dyDescent="0.2"/>
  <cols>
    <col min="2" max="2" width="34.83203125" bestFit="1" customWidth="1"/>
    <col min="3" max="3" width="6.6640625" bestFit="1" customWidth="1"/>
    <col min="4" max="4" width="11.83203125" bestFit="1" customWidth="1"/>
    <col min="5" max="5" width="10.83203125" bestFit="1" customWidth="1"/>
    <col min="6" max="6" width="5.6640625" bestFit="1" customWidth="1"/>
    <col min="7" max="7" width="7.33203125" customWidth="1"/>
    <col min="8" max="8" width="6.1640625" customWidth="1"/>
    <col min="9" max="9" width="7.33203125" bestFit="1" customWidth="1"/>
    <col min="10" max="10" width="4.6640625" bestFit="1" customWidth="1"/>
    <col min="11" max="11" width="10.1640625" customWidth="1"/>
    <col min="12" max="12" width="8.83203125" customWidth="1"/>
    <col min="13" max="13" width="7.33203125" bestFit="1" customWidth="1"/>
    <col min="14" max="14" width="4.6640625" bestFit="1" customWidth="1"/>
    <col min="15" max="15" width="4.1640625" bestFit="1" customWidth="1"/>
    <col min="16" max="16" width="8.33203125" customWidth="1"/>
    <col min="17" max="17" width="7.33203125" bestFit="1" customWidth="1"/>
    <col min="18" max="18" width="4.6640625" bestFit="1" customWidth="1"/>
    <col min="19" max="19" width="4.1640625" bestFit="1" customWidth="1"/>
    <col min="21" max="21" width="7.33203125" bestFit="1" customWidth="1"/>
    <col min="22" max="22" width="4.6640625" bestFit="1" customWidth="1"/>
    <col min="23" max="23" width="4.1640625" bestFit="1" customWidth="1"/>
    <col min="25" max="25" width="7.33203125" bestFit="1" customWidth="1"/>
    <col min="26" max="26" width="4.6640625" bestFit="1" customWidth="1"/>
    <col min="27" max="27" width="4.1640625" bestFit="1" customWidth="1"/>
    <col min="29" max="29" width="7.33203125" bestFit="1" customWidth="1"/>
    <col min="30" max="30" width="4.6640625" bestFit="1" customWidth="1"/>
    <col min="31" max="31" width="4.1640625" bestFit="1" customWidth="1"/>
    <col min="33" max="33" width="7.33203125" bestFit="1" customWidth="1"/>
    <col min="34" max="34" width="4.6640625" bestFit="1" customWidth="1"/>
  </cols>
  <sheetData>
    <row r="2" spans="2:44" ht="16" x14ac:dyDescent="0.2">
      <c r="B2" s="11" t="s">
        <v>317</v>
      </c>
      <c r="C2" s="11" t="s">
        <v>312</v>
      </c>
      <c r="D2" s="11" t="s">
        <v>0</v>
      </c>
      <c r="E2" s="11" t="s">
        <v>313</v>
      </c>
      <c r="F2" s="11" t="s">
        <v>4</v>
      </c>
    </row>
    <row r="3" spans="2:44" ht="16" x14ac:dyDescent="0.2">
      <c r="B3" s="10">
        <f>C14</f>
        <v>10</v>
      </c>
      <c r="C3" s="4">
        <f>AVERAGE(C16:C41)</f>
        <v>158.88461538461539</v>
      </c>
      <c r="D3" s="12">
        <f>AVERAGE(D16:D41)</f>
        <v>0.71919231061250544</v>
      </c>
      <c r="E3" s="6">
        <f>AVERAGE(E16:E41)</f>
        <v>2.0553444945400574E-2</v>
      </c>
      <c r="F3" s="7">
        <f>SUM(F16:F41)</f>
        <v>14</v>
      </c>
    </row>
    <row r="4" spans="2:44" ht="16" x14ac:dyDescent="0.2">
      <c r="B4" s="10">
        <f>G14</f>
        <v>20</v>
      </c>
      <c r="C4" s="4">
        <f>AVERAGE(G16:G41)</f>
        <v>155.73076923076923</v>
      </c>
      <c r="D4" s="13">
        <f>AVERAGE(H16:H41)</f>
        <v>1.7096538383048028</v>
      </c>
      <c r="E4" s="6">
        <f>AVERAGE(I16:I41)</f>
        <v>7.9765802828009619E-3</v>
      </c>
      <c r="F4" s="7">
        <f>SUM(J16:J41)</f>
        <v>17</v>
      </c>
    </row>
    <row r="5" spans="2:44" ht="16" x14ac:dyDescent="0.2">
      <c r="B5" s="10">
        <f>K14</f>
        <v>30</v>
      </c>
      <c r="C5" s="4">
        <f>AVERAGE(K16:K41)</f>
        <v>155.11538461538461</v>
      </c>
      <c r="D5" s="4">
        <f>AVERAGE(L16:L41)</f>
        <v>2.436961538498648</v>
      </c>
      <c r="E5" s="6">
        <f>AVERAGE(M16:M41)</f>
        <v>5.7912039916568634E-3</v>
      </c>
      <c r="F5" s="7">
        <f>SUM(N16:N41)</f>
        <v>19</v>
      </c>
    </row>
    <row r="6" spans="2:44" ht="16" x14ac:dyDescent="0.2">
      <c r="B6" s="10">
        <f>O14</f>
        <v>40</v>
      </c>
      <c r="C6" s="4">
        <f>AVERAGE(O16:O41)</f>
        <v>154.92307692307693</v>
      </c>
      <c r="D6" s="4">
        <f>AVERAGE(P16:P41)</f>
        <v>2.8276153828303974</v>
      </c>
      <c r="E6" s="6">
        <f>AVERAGE(Q16:Q41)</f>
        <v>4.865278065730937E-3</v>
      </c>
      <c r="F6" s="7">
        <f>SUM(R16:R41)</f>
        <v>21</v>
      </c>
    </row>
    <row r="7" spans="2:44" ht="16" x14ac:dyDescent="0.2">
      <c r="B7" s="10">
        <f>S14</f>
        <v>50</v>
      </c>
      <c r="C7" s="4">
        <f>AVERAGE(S16:S41)</f>
        <v>154.53846153846155</v>
      </c>
      <c r="D7" s="4">
        <f>AVERAGE(T16:T41)</f>
        <v>3.9617307752442477</v>
      </c>
      <c r="E7" s="6">
        <f>AVERAGE(U16:U41)</f>
        <v>1.0945390008742254E-3</v>
      </c>
      <c r="F7" s="7">
        <f>SUM(V16:V41)</f>
        <v>22</v>
      </c>
    </row>
    <row r="8" spans="2:44" ht="16" x14ac:dyDescent="0.2">
      <c r="B8" s="10">
        <f>W14</f>
        <v>60</v>
      </c>
      <c r="C8" s="4">
        <f>AVERAGE(W16:W41)</f>
        <v>154.5</v>
      </c>
      <c r="D8" s="4">
        <f>AVERAGE(X16:X41)</f>
        <v>4.253346178788119</v>
      </c>
      <c r="E8" s="6">
        <f>AVERAGE(Y16:Y41)</f>
        <v>4.8403839037361489E-4</v>
      </c>
      <c r="F8" s="7">
        <f>SUM(Z16:Z41)</f>
        <v>23</v>
      </c>
    </row>
    <row r="9" spans="2:44" ht="16" x14ac:dyDescent="0.2">
      <c r="B9" s="10">
        <f>AA14</f>
        <v>70</v>
      </c>
      <c r="C9" s="4">
        <f>AVERAGE(AA16:AA41)</f>
        <v>154.38461538461539</v>
      </c>
      <c r="D9" s="4">
        <f>AVERAGE(AB16:AB41)</f>
        <v>4.7121539531956209</v>
      </c>
      <c r="E9" s="6">
        <f>AVERAGE(AC16:AC41)</f>
        <v>2.6343519494204424E-4</v>
      </c>
      <c r="F9" s="7">
        <f>SUM(AD16:AD41)</f>
        <v>25</v>
      </c>
    </row>
    <row r="10" spans="2:44" ht="16" x14ac:dyDescent="0.2">
      <c r="B10" s="11">
        <f>AE14</f>
        <v>80</v>
      </c>
      <c r="C10" s="5">
        <f>AVERAGE(AE16:AE41)</f>
        <v>154.30769230769232</v>
      </c>
      <c r="D10" s="4">
        <f>AVERAGE(AF16:AF41)</f>
        <v>5.6006922671356456</v>
      </c>
      <c r="E10" s="8">
        <f>AVERAGE(AG16:AG41)</f>
        <v>0</v>
      </c>
      <c r="F10" s="14">
        <f>SUM(AH16:AH41)</f>
        <v>26</v>
      </c>
    </row>
    <row r="11" spans="2:44" ht="16" x14ac:dyDescent="0.2">
      <c r="B11" s="10">
        <f>AI14</f>
        <v>90</v>
      </c>
      <c r="C11" s="5">
        <f>AVERAGE(AI16:AI41)</f>
        <v>154.30769230769232</v>
      </c>
      <c r="D11" s="4">
        <f>AVERAGE(AJ16:AJ41)</f>
        <v>5.9903461533383684</v>
      </c>
      <c r="E11" s="8">
        <f>AVERAGE(AK16:AK41)</f>
        <v>0</v>
      </c>
      <c r="F11" s="14">
        <f>SUM(AL16:AL41)</f>
        <v>26</v>
      </c>
    </row>
    <row r="12" spans="2:44" ht="16" x14ac:dyDescent="0.2">
      <c r="B12" s="10">
        <f>AM14</f>
        <v>100</v>
      </c>
      <c r="C12" s="5">
        <f>AVERAGE(AM16:AM41)</f>
        <v>154.30769230769232</v>
      </c>
      <c r="D12" s="4">
        <f t="shared" ref="D12:E12" si="0">AVERAGE(AN16:AN41)</f>
        <v>6.3804999669440665</v>
      </c>
      <c r="E12" s="8">
        <f t="shared" si="0"/>
        <v>0</v>
      </c>
      <c r="F12" s="14">
        <f>SUM(AP16:AP41)</f>
        <v>26</v>
      </c>
    </row>
    <row r="14" spans="2:44" ht="16" x14ac:dyDescent="0.2">
      <c r="C14" s="41">
        <v>10</v>
      </c>
      <c r="D14" s="41"/>
      <c r="E14" s="41"/>
      <c r="F14" s="41"/>
      <c r="G14" s="42">
        <v>20</v>
      </c>
      <c r="H14" s="43"/>
      <c r="I14" s="43"/>
      <c r="J14" s="44"/>
      <c r="K14" s="42">
        <v>30</v>
      </c>
      <c r="L14" s="43"/>
      <c r="M14" s="43"/>
      <c r="N14" s="44"/>
      <c r="O14" s="42">
        <v>40</v>
      </c>
      <c r="P14" s="43"/>
      <c r="Q14" s="43"/>
      <c r="R14" s="44"/>
      <c r="S14" s="42">
        <v>50</v>
      </c>
      <c r="T14" s="43"/>
      <c r="U14" s="43"/>
      <c r="V14" s="44"/>
      <c r="W14" s="41">
        <v>60</v>
      </c>
      <c r="X14" s="41"/>
      <c r="Y14" s="41"/>
      <c r="Z14" s="41"/>
      <c r="AA14" s="42">
        <v>70</v>
      </c>
      <c r="AB14" s="43"/>
      <c r="AC14" s="43"/>
      <c r="AD14" s="44"/>
      <c r="AE14" s="41">
        <v>80</v>
      </c>
      <c r="AF14" s="41"/>
      <c r="AG14" s="41"/>
      <c r="AH14" s="41"/>
      <c r="AI14" s="42">
        <v>90</v>
      </c>
      <c r="AJ14" s="43"/>
      <c r="AK14" s="43"/>
      <c r="AL14" s="44"/>
      <c r="AM14" s="42">
        <v>100</v>
      </c>
      <c r="AN14" s="43"/>
      <c r="AO14" s="43"/>
      <c r="AP14" s="44"/>
    </row>
    <row r="15" spans="2:44" ht="16" x14ac:dyDescent="0.2">
      <c r="B15" s="1" t="s">
        <v>5</v>
      </c>
      <c r="C15" s="1" t="s">
        <v>1</v>
      </c>
      <c r="D15" s="1" t="s">
        <v>0</v>
      </c>
      <c r="E15" s="1" t="s">
        <v>2</v>
      </c>
      <c r="F15" s="1" t="s">
        <v>3</v>
      </c>
      <c r="G15" s="1" t="s">
        <v>1</v>
      </c>
      <c r="H15" s="1" t="s">
        <v>0</v>
      </c>
      <c r="I15" s="1" t="s">
        <v>2</v>
      </c>
      <c r="J15" s="1" t="s">
        <v>3</v>
      </c>
      <c r="K15" s="1" t="s">
        <v>1</v>
      </c>
      <c r="L15" s="1" t="s">
        <v>0</v>
      </c>
      <c r="M15" s="1" t="s">
        <v>2</v>
      </c>
      <c r="N15" s="1" t="s">
        <v>3</v>
      </c>
      <c r="O15" s="1" t="s">
        <v>1</v>
      </c>
      <c r="P15" s="1" t="s">
        <v>0</v>
      </c>
      <c r="Q15" s="1" t="s">
        <v>2</v>
      </c>
      <c r="R15" s="1" t="s">
        <v>3</v>
      </c>
      <c r="S15" s="1" t="s">
        <v>1</v>
      </c>
      <c r="T15" s="1" t="s">
        <v>0</v>
      </c>
      <c r="U15" s="1" t="s">
        <v>2</v>
      </c>
      <c r="V15" s="1" t="s">
        <v>3</v>
      </c>
      <c r="W15" s="1" t="s">
        <v>1</v>
      </c>
      <c r="X15" s="1" t="s">
        <v>0</v>
      </c>
      <c r="Y15" s="1" t="s">
        <v>2</v>
      </c>
      <c r="Z15" s="1" t="s">
        <v>3</v>
      </c>
      <c r="AA15" s="1" t="s">
        <v>1</v>
      </c>
      <c r="AB15" s="1" t="s">
        <v>0</v>
      </c>
      <c r="AC15" s="1" t="s">
        <v>2</v>
      </c>
      <c r="AD15" s="1" t="s">
        <v>3</v>
      </c>
      <c r="AE15" s="1" t="s">
        <v>1</v>
      </c>
      <c r="AF15" s="1" t="s">
        <v>0</v>
      </c>
      <c r="AG15" s="1" t="s">
        <v>2</v>
      </c>
      <c r="AH15" s="1" t="s">
        <v>3</v>
      </c>
      <c r="AI15" s="1" t="s">
        <v>1</v>
      </c>
      <c r="AJ15" s="1" t="s">
        <v>0</v>
      </c>
      <c r="AK15" s="1" t="s">
        <v>2</v>
      </c>
      <c r="AL15" s="1" t="s">
        <v>3</v>
      </c>
      <c r="AM15" s="1" t="s">
        <v>1</v>
      </c>
      <c r="AN15" s="1" t="s">
        <v>0</v>
      </c>
      <c r="AO15" s="1" t="s">
        <v>2</v>
      </c>
      <c r="AP15" s="1" t="s">
        <v>3</v>
      </c>
      <c r="AR15" s="2" t="s">
        <v>4</v>
      </c>
    </row>
    <row r="16" spans="2:44" ht="16" x14ac:dyDescent="0.2">
      <c r="B16" s="18" t="s">
        <v>6</v>
      </c>
      <c r="C16" s="18">
        <v>535</v>
      </c>
      <c r="D16" s="18">
        <v>0.3580000102519989</v>
      </c>
      <c r="E16" s="3">
        <f t="shared" ref="E16:E41" si="1">(C16-$AR16)/$AR16</f>
        <v>5.6390977443609019E-3</v>
      </c>
      <c r="F16" s="1">
        <f t="shared" ref="F16:F41" si="2">IF(C16=$AR16,1,0)</f>
        <v>0</v>
      </c>
      <c r="G16" s="18">
        <v>534</v>
      </c>
      <c r="H16" s="18">
        <v>0.44299998879432678</v>
      </c>
      <c r="I16" s="3">
        <f t="shared" ref="I16:I41" si="3">(G16-$AR16)/$AR16</f>
        <v>3.7593984962406013E-3</v>
      </c>
      <c r="J16" s="1">
        <f t="shared" ref="J16:J41" si="4">IF(G16=$AR16,1,0)</f>
        <v>0</v>
      </c>
      <c r="K16" s="18">
        <v>534</v>
      </c>
      <c r="L16" s="18">
        <v>0.52300000190734863</v>
      </c>
      <c r="M16" s="3">
        <f>(K16-$AR16)/$AR16</f>
        <v>3.7593984962406013E-3</v>
      </c>
      <c r="N16" s="1">
        <f>IF(K16=$AR16,1,0)</f>
        <v>0</v>
      </c>
      <c r="O16" s="18">
        <v>534</v>
      </c>
      <c r="P16" s="18">
        <v>0.61900001764297485</v>
      </c>
      <c r="Q16" s="3">
        <f>(O16-$AR16)/$AR16</f>
        <v>3.7593984962406013E-3</v>
      </c>
      <c r="R16" s="1">
        <f>IF(O16=$AR16,1,0)</f>
        <v>0</v>
      </c>
      <c r="S16" s="18">
        <v>534</v>
      </c>
      <c r="T16" s="18">
        <v>0.71399998664855957</v>
      </c>
      <c r="U16" s="3">
        <f>(S16-$AR16)/$AR16</f>
        <v>3.7593984962406013E-3</v>
      </c>
      <c r="V16" s="1">
        <f>IF(S16=$AR16,1,0)</f>
        <v>0</v>
      </c>
      <c r="W16" s="18">
        <v>534</v>
      </c>
      <c r="X16" s="18">
        <v>0.91100001335144043</v>
      </c>
      <c r="Y16" s="3">
        <f>(W16-$AR16)/$AR16</f>
        <v>3.7593984962406013E-3</v>
      </c>
      <c r="Z16" s="1">
        <f>IF(W16=$AR16,1,0)</f>
        <v>0</v>
      </c>
      <c r="AA16" s="18">
        <v>532</v>
      </c>
      <c r="AB16" s="18">
        <v>1.6519999504089355</v>
      </c>
      <c r="AC16" s="3">
        <f>(AA16-$AR16)/$AR16</f>
        <v>0</v>
      </c>
      <c r="AD16" s="1">
        <f>IF(AA16=$AR16,1,0)</f>
        <v>1</v>
      </c>
      <c r="AE16" s="18">
        <v>532</v>
      </c>
      <c r="AF16" s="18">
        <v>1.7039999961853027</v>
      </c>
      <c r="AG16" s="3">
        <f>(AE16-$AR16)/$AR16</f>
        <v>0</v>
      </c>
      <c r="AH16" s="1">
        <f>IF(AE16=$AR16,1,0)</f>
        <v>1</v>
      </c>
      <c r="AI16" s="18">
        <v>532</v>
      </c>
      <c r="AJ16" s="18">
        <v>1.7879999876022339</v>
      </c>
      <c r="AK16" s="3">
        <f>(AI16-$AR16)/$AR16</f>
        <v>0</v>
      </c>
      <c r="AL16" s="1">
        <f>IF(AI16=$AR16,1,0)</f>
        <v>1</v>
      </c>
      <c r="AM16" s="18">
        <v>532</v>
      </c>
      <c r="AN16" s="18">
        <v>1.8739999532699585</v>
      </c>
      <c r="AO16" s="3">
        <f>(AM16-$AR16)/$AR16</f>
        <v>0</v>
      </c>
      <c r="AP16" s="1">
        <f>IF(AM16=$AR16,1,0)</f>
        <v>1</v>
      </c>
      <c r="AR16" s="2">
        <f>MIN(C16,G16,K16,O16,S16,W16,AA16,AE16,AI16,AM16)</f>
        <v>532</v>
      </c>
    </row>
    <row r="17" spans="2:44" ht="16" x14ac:dyDescent="0.2">
      <c r="B17" s="18" t="s">
        <v>7</v>
      </c>
      <c r="C17" s="18">
        <v>161</v>
      </c>
      <c r="D17" s="18">
        <v>6.1000000685453415E-2</v>
      </c>
      <c r="E17" s="3">
        <f t="shared" si="1"/>
        <v>0</v>
      </c>
      <c r="F17" s="1">
        <f t="shared" si="2"/>
        <v>1</v>
      </c>
      <c r="G17" s="18">
        <v>161</v>
      </c>
      <c r="H17" s="18">
        <v>7.0000000298023224E-2</v>
      </c>
      <c r="I17" s="3">
        <f t="shared" si="3"/>
        <v>0</v>
      </c>
      <c r="J17" s="1">
        <f t="shared" si="4"/>
        <v>1</v>
      </c>
      <c r="K17" s="18">
        <v>161</v>
      </c>
      <c r="L17" s="18">
        <v>8.6999997496604919E-2</v>
      </c>
      <c r="M17" s="3">
        <f>(K17-$AR17)/$AR17</f>
        <v>0</v>
      </c>
      <c r="N17" s="1">
        <f t="shared" ref="N17:N41" si="5">IF(K17=$AR17,1,0)</f>
        <v>1</v>
      </c>
      <c r="O17" s="18">
        <v>161</v>
      </c>
      <c r="P17" s="18">
        <v>0.10499999672174454</v>
      </c>
      <c r="Q17" s="3">
        <f t="shared" ref="Q17:Q41" si="6">(O17-$AR17)/$AR17</f>
        <v>0</v>
      </c>
      <c r="R17" s="1">
        <f t="shared" ref="R17:R41" si="7">IF(O17=$AR17,1,0)</f>
        <v>1</v>
      </c>
      <c r="S17" s="18">
        <v>161</v>
      </c>
      <c r="T17" s="18">
        <v>0.12099999934434891</v>
      </c>
      <c r="U17" s="3">
        <f t="shared" ref="U17:U41" si="8">(S17-$AR17)/$AR17</f>
        <v>0</v>
      </c>
      <c r="V17" s="1">
        <f t="shared" ref="V17:V41" si="9">IF(S17=$AR17,1,0)</f>
        <v>1</v>
      </c>
      <c r="W17" s="18">
        <v>161</v>
      </c>
      <c r="X17" s="18">
        <v>0.13300000131130219</v>
      </c>
      <c r="Y17" s="3">
        <f t="shared" ref="Y17:Y41" si="10">(W17-$AR17)/$AR17</f>
        <v>0</v>
      </c>
      <c r="Z17" s="1">
        <f t="shared" ref="Z17:Z41" si="11">IF(W17=$AR17,1,0)</f>
        <v>1</v>
      </c>
      <c r="AA17" s="18">
        <v>161</v>
      </c>
      <c r="AB17" s="18">
        <v>0.15000000596046448</v>
      </c>
      <c r="AC17" s="3">
        <f t="shared" ref="AC17:AC41" si="12">(AA17-$AR17)/$AR17</f>
        <v>0</v>
      </c>
      <c r="AD17" s="1">
        <f t="shared" ref="AD17:AD41" si="13">IF(AA17=$AR17,1,0)</f>
        <v>1</v>
      </c>
      <c r="AE17" s="18">
        <v>161</v>
      </c>
      <c r="AF17" s="18">
        <v>0.16500000655651093</v>
      </c>
      <c r="AG17" s="3">
        <f t="shared" ref="AG17:AG41" si="14">(AE17-$AR17)/$AR17</f>
        <v>0</v>
      </c>
      <c r="AH17" s="1">
        <f t="shared" ref="AH17:AH41" si="15">IF(AE17=$AR17,1,0)</f>
        <v>1</v>
      </c>
      <c r="AI17" s="18">
        <v>161</v>
      </c>
      <c r="AJ17" s="18">
        <v>0.18199999630451202</v>
      </c>
      <c r="AK17" s="3">
        <f t="shared" ref="AK17:AK41" si="16">(AI17-$AR17)/$AR17</f>
        <v>0</v>
      </c>
      <c r="AL17" s="1">
        <f t="shared" ref="AL17:AL41" si="17">IF(AI17=$AR17,1,0)</f>
        <v>1</v>
      </c>
      <c r="AM17" s="18">
        <v>161</v>
      </c>
      <c r="AN17" s="18">
        <v>0.19799999892711639</v>
      </c>
      <c r="AO17" s="3">
        <f t="shared" ref="AO17:AO41" si="18">(AM17-$AR17)/$AR17</f>
        <v>0</v>
      </c>
      <c r="AP17" s="1">
        <f t="shared" ref="AP17:AP41" si="19">IF(AM17=$AR17,1,0)</f>
        <v>1</v>
      </c>
      <c r="AR17" s="2">
        <f t="shared" ref="AR17:AR41" si="20">MIN(C17,G17,K17,O17,S17,W17,AA17,AE17,AI17,AM17)</f>
        <v>161</v>
      </c>
    </row>
    <row r="18" spans="2:44" ht="16" x14ac:dyDescent="0.2">
      <c r="B18" s="18" t="s">
        <v>8</v>
      </c>
      <c r="C18" s="18">
        <v>180</v>
      </c>
      <c r="D18" s="18">
        <v>0.13300000131130219</v>
      </c>
      <c r="E18" s="3">
        <f t="shared" si="1"/>
        <v>0</v>
      </c>
      <c r="F18" s="1">
        <f t="shared" si="2"/>
        <v>1</v>
      </c>
      <c r="G18" s="18">
        <v>180</v>
      </c>
      <c r="H18" s="18">
        <v>0.16300000250339508</v>
      </c>
      <c r="I18" s="3">
        <f t="shared" si="3"/>
        <v>0</v>
      </c>
      <c r="J18" s="1">
        <f t="shared" si="4"/>
        <v>1</v>
      </c>
      <c r="K18" s="18">
        <v>180</v>
      </c>
      <c r="L18" s="18">
        <v>0.20000000298023224</v>
      </c>
      <c r="M18" s="3">
        <f t="shared" ref="M18:M41" si="21">(K18-$AR18)/$AR18</f>
        <v>0</v>
      </c>
      <c r="N18" s="1">
        <f t="shared" si="5"/>
        <v>1</v>
      </c>
      <c r="O18" s="18">
        <v>180</v>
      </c>
      <c r="P18" s="18">
        <v>0.23199999332427979</v>
      </c>
      <c r="Q18" s="3">
        <f t="shared" si="6"/>
        <v>0</v>
      </c>
      <c r="R18" s="1">
        <f t="shared" si="7"/>
        <v>1</v>
      </c>
      <c r="S18" s="18">
        <v>180</v>
      </c>
      <c r="T18" s="18">
        <v>0.26499998569488525</v>
      </c>
      <c r="U18" s="3">
        <f t="shared" si="8"/>
        <v>0</v>
      </c>
      <c r="V18" s="1">
        <f t="shared" si="9"/>
        <v>1</v>
      </c>
      <c r="W18" s="18">
        <v>180</v>
      </c>
      <c r="X18" s="18">
        <v>0.28099998831748962</v>
      </c>
      <c r="Y18" s="3">
        <f t="shared" si="10"/>
        <v>0</v>
      </c>
      <c r="Z18" s="1">
        <f t="shared" si="11"/>
        <v>1</v>
      </c>
      <c r="AA18" s="18">
        <v>180</v>
      </c>
      <c r="AB18" s="18">
        <v>0.31799998879432678</v>
      </c>
      <c r="AC18" s="3">
        <f t="shared" si="12"/>
        <v>0</v>
      </c>
      <c r="AD18" s="1">
        <f t="shared" si="13"/>
        <v>1</v>
      </c>
      <c r="AE18" s="18">
        <v>180</v>
      </c>
      <c r="AF18" s="18">
        <v>0.35600000619888306</v>
      </c>
      <c r="AG18" s="3">
        <f t="shared" si="14"/>
        <v>0</v>
      </c>
      <c r="AH18" s="1">
        <f t="shared" si="15"/>
        <v>1</v>
      </c>
      <c r="AI18" s="18">
        <v>180</v>
      </c>
      <c r="AJ18" s="18">
        <v>0.38899999856948853</v>
      </c>
      <c r="AK18" s="3">
        <f t="shared" si="16"/>
        <v>0</v>
      </c>
      <c r="AL18" s="1">
        <f t="shared" si="17"/>
        <v>1</v>
      </c>
      <c r="AM18" s="18">
        <v>180</v>
      </c>
      <c r="AN18" s="18">
        <v>0.43700000643730164</v>
      </c>
      <c r="AO18" s="3">
        <f t="shared" si="18"/>
        <v>0</v>
      </c>
      <c r="AP18" s="1">
        <f t="shared" si="19"/>
        <v>1</v>
      </c>
      <c r="AR18" s="2">
        <f t="shared" si="20"/>
        <v>180</v>
      </c>
    </row>
    <row r="19" spans="2:44" ht="16" x14ac:dyDescent="0.2">
      <c r="B19" s="18" t="s">
        <v>9</v>
      </c>
      <c r="C19" s="18">
        <v>20</v>
      </c>
      <c r="D19" s="18">
        <v>2.0000000949949026E-3</v>
      </c>
      <c r="E19" s="3">
        <f t="shared" si="1"/>
        <v>0.1111111111111111</v>
      </c>
      <c r="F19" s="1">
        <f t="shared" si="2"/>
        <v>0</v>
      </c>
      <c r="G19" s="18">
        <v>18</v>
      </c>
      <c r="H19" s="18">
        <v>6.0000000521540642E-3</v>
      </c>
      <c r="I19" s="3">
        <f t="shared" si="3"/>
        <v>0</v>
      </c>
      <c r="J19" s="1">
        <f t="shared" si="4"/>
        <v>1</v>
      </c>
      <c r="K19" s="18">
        <v>18</v>
      </c>
      <c r="L19" s="18">
        <v>7.0000002160668373E-3</v>
      </c>
      <c r="M19" s="3">
        <f t="shared" si="21"/>
        <v>0</v>
      </c>
      <c r="N19" s="1">
        <f t="shared" si="5"/>
        <v>1</v>
      </c>
      <c r="O19" s="18">
        <v>18</v>
      </c>
      <c r="P19" s="18">
        <v>8.999999612569809E-3</v>
      </c>
      <c r="Q19" s="3">
        <f t="shared" si="6"/>
        <v>0</v>
      </c>
      <c r="R19" s="1">
        <f t="shared" si="7"/>
        <v>1</v>
      </c>
      <c r="S19" s="18">
        <v>18</v>
      </c>
      <c r="T19" s="18">
        <v>1.0999999940395355E-2</v>
      </c>
      <c r="U19" s="3">
        <f t="shared" si="8"/>
        <v>0</v>
      </c>
      <c r="V19" s="1">
        <f t="shared" si="9"/>
        <v>1</v>
      </c>
      <c r="W19" s="18">
        <v>18</v>
      </c>
      <c r="X19" s="18">
        <v>1.0999999940395355E-2</v>
      </c>
      <c r="Y19" s="3">
        <f t="shared" si="10"/>
        <v>0</v>
      </c>
      <c r="Z19" s="1">
        <f t="shared" si="11"/>
        <v>1</v>
      </c>
      <c r="AA19" s="18">
        <v>18</v>
      </c>
      <c r="AB19" s="18">
        <v>1.3000000268220901E-2</v>
      </c>
      <c r="AC19" s="3">
        <f t="shared" si="12"/>
        <v>0</v>
      </c>
      <c r="AD19" s="1">
        <f t="shared" si="13"/>
        <v>1</v>
      </c>
      <c r="AE19" s="18">
        <v>18</v>
      </c>
      <c r="AF19" s="18">
        <v>1.4999999664723873E-2</v>
      </c>
      <c r="AG19" s="3">
        <f t="shared" si="14"/>
        <v>0</v>
      </c>
      <c r="AH19" s="1">
        <f t="shared" si="15"/>
        <v>1</v>
      </c>
      <c r="AI19" s="18">
        <v>18</v>
      </c>
      <c r="AJ19" s="18">
        <v>1.7000000923871994E-2</v>
      </c>
      <c r="AK19" s="3">
        <f t="shared" si="16"/>
        <v>0</v>
      </c>
      <c r="AL19" s="1">
        <f t="shared" si="17"/>
        <v>1</v>
      </c>
      <c r="AM19" s="18">
        <v>18</v>
      </c>
      <c r="AN19" s="18">
        <v>1.7999999225139618E-2</v>
      </c>
      <c r="AO19" s="3">
        <f t="shared" si="18"/>
        <v>0</v>
      </c>
      <c r="AP19" s="1">
        <f t="shared" si="19"/>
        <v>1</v>
      </c>
      <c r="AR19" s="2">
        <f t="shared" si="20"/>
        <v>18</v>
      </c>
    </row>
    <row r="20" spans="2:44" ht="16" x14ac:dyDescent="0.2">
      <c r="B20" s="18" t="s">
        <v>10</v>
      </c>
      <c r="C20" s="18">
        <v>335</v>
      </c>
      <c r="D20" s="18">
        <v>2.999000072479248</v>
      </c>
      <c r="E20" s="3">
        <f t="shared" si="1"/>
        <v>6.006006006006006E-3</v>
      </c>
      <c r="F20" s="1">
        <f t="shared" si="2"/>
        <v>0</v>
      </c>
      <c r="G20" s="18">
        <v>333</v>
      </c>
      <c r="H20" s="18">
        <v>6.8810000419616699</v>
      </c>
      <c r="I20" s="3">
        <f t="shared" si="3"/>
        <v>0</v>
      </c>
      <c r="J20" s="1">
        <f t="shared" si="4"/>
        <v>1</v>
      </c>
      <c r="K20" s="18">
        <v>333</v>
      </c>
      <c r="L20" s="18">
        <v>7.8969998359680176</v>
      </c>
      <c r="M20" s="3">
        <f t="shared" si="21"/>
        <v>0</v>
      </c>
      <c r="N20" s="1">
        <f t="shared" si="5"/>
        <v>1</v>
      </c>
      <c r="O20" s="18">
        <v>333</v>
      </c>
      <c r="P20" s="18">
        <v>8.6829996109008789</v>
      </c>
      <c r="Q20" s="3">
        <f t="shared" si="6"/>
        <v>0</v>
      </c>
      <c r="R20" s="1">
        <f t="shared" si="7"/>
        <v>1</v>
      </c>
      <c r="S20" s="18">
        <v>333</v>
      </c>
      <c r="T20" s="18">
        <v>9.6739997863769531</v>
      </c>
      <c r="U20" s="3">
        <f t="shared" si="8"/>
        <v>0</v>
      </c>
      <c r="V20" s="1">
        <f t="shared" si="9"/>
        <v>1</v>
      </c>
      <c r="W20" s="18">
        <v>333</v>
      </c>
      <c r="X20" s="18">
        <v>10.031999588012695</v>
      </c>
      <c r="Y20" s="3">
        <f t="shared" si="10"/>
        <v>0</v>
      </c>
      <c r="Z20" s="1">
        <f t="shared" si="11"/>
        <v>1</v>
      </c>
      <c r="AA20" s="18">
        <v>333</v>
      </c>
      <c r="AB20" s="18">
        <v>11.104000091552734</v>
      </c>
      <c r="AC20" s="3">
        <f t="shared" si="12"/>
        <v>0</v>
      </c>
      <c r="AD20" s="1">
        <f t="shared" si="13"/>
        <v>1</v>
      </c>
      <c r="AE20" s="18">
        <v>333</v>
      </c>
      <c r="AF20" s="18">
        <v>11.928999900817871</v>
      </c>
      <c r="AG20" s="3">
        <f t="shared" si="14"/>
        <v>0</v>
      </c>
      <c r="AH20" s="1">
        <f t="shared" si="15"/>
        <v>1</v>
      </c>
      <c r="AI20" s="18">
        <v>333</v>
      </c>
      <c r="AJ20" s="18">
        <v>12.840999603271484</v>
      </c>
      <c r="AK20" s="3">
        <f t="shared" si="16"/>
        <v>0</v>
      </c>
      <c r="AL20" s="1">
        <f t="shared" si="17"/>
        <v>1</v>
      </c>
      <c r="AM20" s="18">
        <v>333</v>
      </c>
      <c r="AN20" s="18">
        <v>13.763999938964844</v>
      </c>
      <c r="AO20" s="3">
        <f t="shared" si="18"/>
        <v>0</v>
      </c>
      <c r="AP20" s="1">
        <f t="shared" si="19"/>
        <v>1</v>
      </c>
      <c r="AR20" s="2">
        <f t="shared" si="20"/>
        <v>333</v>
      </c>
    </row>
    <row r="21" spans="2:44" ht="16" x14ac:dyDescent="0.2">
      <c r="B21" s="18" t="s">
        <v>11</v>
      </c>
      <c r="C21" s="18">
        <v>57</v>
      </c>
      <c r="D21" s="18">
        <v>8.999999612569809E-3</v>
      </c>
      <c r="E21" s="3">
        <f t="shared" si="1"/>
        <v>0</v>
      </c>
      <c r="F21" s="1">
        <f t="shared" si="2"/>
        <v>1</v>
      </c>
      <c r="G21" s="18">
        <v>57</v>
      </c>
      <c r="H21" s="18">
        <v>1.7999999225139618E-2</v>
      </c>
      <c r="I21" s="3">
        <f t="shared" si="3"/>
        <v>0</v>
      </c>
      <c r="J21" s="1">
        <f t="shared" si="4"/>
        <v>1</v>
      </c>
      <c r="K21" s="18">
        <v>57</v>
      </c>
      <c r="L21" s="18">
        <v>2.500000037252903E-2</v>
      </c>
      <c r="M21" s="3">
        <f t="shared" si="21"/>
        <v>0</v>
      </c>
      <c r="N21" s="1">
        <f t="shared" si="5"/>
        <v>1</v>
      </c>
      <c r="O21" s="18">
        <v>57</v>
      </c>
      <c r="P21" s="18">
        <v>3.2999999821186066E-2</v>
      </c>
      <c r="Q21" s="3">
        <f t="shared" si="6"/>
        <v>0</v>
      </c>
      <c r="R21" s="1">
        <f t="shared" si="7"/>
        <v>1</v>
      </c>
      <c r="S21" s="18">
        <v>57</v>
      </c>
      <c r="T21" s="18">
        <v>4.1000001132488251E-2</v>
      </c>
      <c r="U21" s="3">
        <f t="shared" si="8"/>
        <v>0</v>
      </c>
      <c r="V21" s="1">
        <f t="shared" si="9"/>
        <v>1</v>
      </c>
      <c r="W21" s="18">
        <v>57</v>
      </c>
      <c r="X21" s="18">
        <v>4.6999998390674591E-2</v>
      </c>
      <c r="Y21" s="3">
        <f t="shared" si="10"/>
        <v>0</v>
      </c>
      <c r="Z21" s="1">
        <f t="shared" si="11"/>
        <v>1</v>
      </c>
      <c r="AA21" s="18">
        <v>57</v>
      </c>
      <c r="AB21" s="18">
        <v>5.6000001728534698E-2</v>
      </c>
      <c r="AC21" s="3">
        <f t="shared" si="12"/>
        <v>0</v>
      </c>
      <c r="AD21" s="1">
        <f t="shared" si="13"/>
        <v>1</v>
      </c>
      <c r="AE21" s="18">
        <v>57</v>
      </c>
      <c r="AF21" s="18">
        <v>6.4000003039836884E-2</v>
      </c>
      <c r="AG21" s="3">
        <f t="shared" si="14"/>
        <v>0</v>
      </c>
      <c r="AH21" s="1">
        <f t="shared" si="15"/>
        <v>1</v>
      </c>
      <c r="AI21" s="18">
        <v>57</v>
      </c>
      <c r="AJ21" s="18">
        <v>7.2999998927116394E-2</v>
      </c>
      <c r="AK21" s="3">
        <f t="shared" si="16"/>
        <v>0</v>
      </c>
      <c r="AL21" s="1">
        <f t="shared" si="17"/>
        <v>1</v>
      </c>
      <c r="AM21" s="18">
        <v>57</v>
      </c>
      <c r="AN21" s="18">
        <v>7.9999998211860657E-2</v>
      </c>
      <c r="AO21" s="3">
        <f t="shared" si="18"/>
        <v>0</v>
      </c>
      <c r="AP21" s="1">
        <f t="shared" si="19"/>
        <v>1</v>
      </c>
      <c r="AR21" s="2">
        <f t="shared" si="20"/>
        <v>57</v>
      </c>
    </row>
    <row r="22" spans="2:44" ht="16" x14ac:dyDescent="0.2">
      <c r="B22" s="18" t="s">
        <v>12</v>
      </c>
      <c r="C22" s="18">
        <v>26</v>
      </c>
      <c r="D22" s="18">
        <v>0.57599997520446777</v>
      </c>
      <c r="E22" s="3">
        <f t="shared" si="1"/>
        <v>0</v>
      </c>
      <c r="F22" s="1">
        <f t="shared" si="2"/>
        <v>1</v>
      </c>
      <c r="G22" s="18">
        <v>26</v>
      </c>
      <c r="H22" s="18">
        <v>1.1490000486373901</v>
      </c>
      <c r="I22" s="3">
        <f t="shared" si="3"/>
        <v>0</v>
      </c>
      <c r="J22" s="1">
        <f t="shared" si="4"/>
        <v>1</v>
      </c>
      <c r="K22" s="18">
        <v>26</v>
      </c>
      <c r="L22" s="18">
        <v>1.715999960899353</v>
      </c>
      <c r="M22" s="3">
        <f t="shared" si="21"/>
        <v>0</v>
      </c>
      <c r="N22" s="1">
        <f t="shared" si="5"/>
        <v>1</v>
      </c>
      <c r="O22" s="18">
        <v>26</v>
      </c>
      <c r="P22" s="18">
        <v>2.3670001029968262</v>
      </c>
      <c r="Q22" s="3">
        <f t="shared" si="6"/>
        <v>0</v>
      </c>
      <c r="R22" s="1">
        <f t="shared" si="7"/>
        <v>1</v>
      </c>
      <c r="S22" s="18">
        <v>26</v>
      </c>
      <c r="T22" s="18">
        <v>2.812999963760376</v>
      </c>
      <c r="U22" s="3">
        <f t="shared" si="8"/>
        <v>0</v>
      </c>
      <c r="V22" s="1">
        <f t="shared" si="9"/>
        <v>1</v>
      </c>
      <c r="W22" s="18">
        <v>26</v>
      </c>
      <c r="X22" s="18">
        <v>3.4909999370574951</v>
      </c>
      <c r="Y22" s="3">
        <f t="shared" si="10"/>
        <v>0</v>
      </c>
      <c r="Z22" s="1">
        <f t="shared" si="11"/>
        <v>1</v>
      </c>
      <c r="AA22" s="18">
        <v>26</v>
      </c>
      <c r="AB22" s="18">
        <v>3.9860000610351562</v>
      </c>
      <c r="AC22" s="3">
        <f t="shared" si="12"/>
        <v>0</v>
      </c>
      <c r="AD22" s="1">
        <f t="shared" si="13"/>
        <v>1</v>
      </c>
      <c r="AE22" s="18">
        <v>26</v>
      </c>
      <c r="AF22" s="18">
        <v>4.6979999542236328</v>
      </c>
      <c r="AG22" s="3">
        <f t="shared" si="14"/>
        <v>0</v>
      </c>
      <c r="AH22" s="1">
        <f t="shared" si="15"/>
        <v>1</v>
      </c>
      <c r="AI22" s="18">
        <v>26</v>
      </c>
      <c r="AJ22" s="18">
        <v>5.3439998626708984</v>
      </c>
      <c r="AK22" s="3">
        <f t="shared" si="16"/>
        <v>0</v>
      </c>
      <c r="AL22" s="1">
        <f t="shared" si="17"/>
        <v>1</v>
      </c>
      <c r="AM22" s="18">
        <v>26</v>
      </c>
      <c r="AN22" s="18">
        <v>5.9710001945495605</v>
      </c>
      <c r="AO22" s="3">
        <f t="shared" si="18"/>
        <v>0</v>
      </c>
      <c r="AP22" s="1">
        <f t="shared" si="19"/>
        <v>1</v>
      </c>
      <c r="AR22" s="2">
        <f t="shared" si="20"/>
        <v>26</v>
      </c>
    </row>
    <row r="23" spans="2:44" ht="16" x14ac:dyDescent="0.2">
      <c r="B23" s="18" t="s">
        <v>13</v>
      </c>
      <c r="C23" s="18">
        <v>300</v>
      </c>
      <c r="D23" s="18">
        <v>3.9560000896453857</v>
      </c>
      <c r="E23" s="3">
        <f t="shared" si="1"/>
        <v>2.7397260273972601E-2</v>
      </c>
      <c r="F23" s="1">
        <f t="shared" si="2"/>
        <v>0</v>
      </c>
      <c r="G23" s="18">
        <v>294</v>
      </c>
      <c r="H23" s="18">
        <v>12.671999931335449</v>
      </c>
      <c r="I23" s="3">
        <f t="shared" si="3"/>
        <v>6.8493150684931503E-3</v>
      </c>
      <c r="J23" s="1">
        <f t="shared" si="4"/>
        <v>0</v>
      </c>
      <c r="K23" s="18">
        <v>294</v>
      </c>
      <c r="L23" s="18">
        <v>14.666000366210938</v>
      </c>
      <c r="M23" s="3">
        <f t="shared" si="21"/>
        <v>6.8493150684931503E-3</v>
      </c>
      <c r="N23" s="1">
        <f t="shared" si="5"/>
        <v>0</v>
      </c>
      <c r="O23" s="18">
        <v>294</v>
      </c>
      <c r="P23" s="18">
        <v>16.454000473022461</v>
      </c>
      <c r="Q23" s="3">
        <f t="shared" si="6"/>
        <v>6.8493150684931503E-3</v>
      </c>
      <c r="R23" s="1">
        <f t="shared" si="7"/>
        <v>0</v>
      </c>
      <c r="S23" s="18">
        <v>294</v>
      </c>
      <c r="T23" s="18">
        <v>18.259000778198242</v>
      </c>
      <c r="U23" s="3">
        <f t="shared" si="8"/>
        <v>6.8493150684931503E-3</v>
      </c>
      <c r="V23" s="1">
        <f t="shared" si="9"/>
        <v>0</v>
      </c>
      <c r="W23" s="18">
        <v>294</v>
      </c>
      <c r="X23" s="18">
        <v>19.63599967956543</v>
      </c>
      <c r="Y23" s="3">
        <f t="shared" si="10"/>
        <v>6.8493150684931503E-3</v>
      </c>
      <c r="Z23" s="1">
        <f t="shared" si="11"/>
        <v>0</v>
      </c>
      <c r="AA23" s="18">
        <v>294</v>
      </c>
      <c r="AB23" s="18">
        <v>21.51300048828125</v>
      </c>
      <c r="AC23" s="3">
        <f t="shared" si="12"/>
        <v>6.8493150684931503E-3</v>
      </c>
      <c r="AD23" s="1">
        <f t="shared" si="13"/>
        <v>0</v>
      </c>
      <c r="AE23" s="18">
        <v>292</v>
      </c>
      <c r="AF23" s="18">
        <v>36.972999572753906</v>
      </c>
      <c r="AG23" s="3">
        <f t="shared" si="14"/>
        <v>0</v>
      </c>
      <c r="AH23" s="1">
        <f t="shared" si="15"/>
        <v>1</v>
      </c>
      <c r="AI23" s="18">
        <v>292</v>
      </c>
      <c r="AJ23" s="18">
        <v>38.844001770019531</v>
      </c>
      <c r="AK23" s="3">
        <f t="shared" si="16"/>
        <v>0</v>
      </c>
      <c r="AL23" s="1">
        <f t="shared" si="17"/>
        <v>1</v>
      </c>
      <c r="AM23" s="18">
        <v>292</v>
      </c>
      <c r="AN23" s="18">
        <v>40.669998168945312</v>
      </c>
      <c r="AO23" s="3">
        <f t="shared" si="18"/>
        <v>0</v>
      </c>
      <c r="AP23" s="1">
        <f t="shared" si="19"/>
        <v>1</v>
      </c>
      <c r="AR23" s="2">
        <f t="shared" si="20"/>
        <v>292</v>
      </c>
    </row>
    <row r="24" spans="2:44" ht="16" x14ac:dyDescent="0.2">
      <c r="B24" s="18" t="s">
        <v>14</v>
      </c>
      <c r="C24" s="18">
        <v>149</v>
      </c>
      <c r="D24" s="18">
        <v>0.15199999511241913</v>
      </c>
      <c r="E24" s="3">
        <f t="shared" si="1"/>
        <v>0</v>
      </c>
      <c r="F24" s="1">
        <f t="shared" si="2"/>
        <v>1</v>
      </c>
      <c r="G24" s="18">
        <v>149</v>
      </c>
      <c r="H24" s="18">
        <v>0.18799999356269836</v>
      </c>
      <c r="I24" s="3">
        <f t="shared" si="3"/>
        <v>0</v>
      </c>
      <c r="J24" s="1">
        <f t="shared" si="4"/>
        <v>1</v>
      </c>
      <c r="K24" s="18">
        <v>149</v>
      </c>
      <c r="L24" s="18">
        <v>0.23199999332427979</v>
      </c>
      <c r="M24" s="3">
        <f t="shared" si="21"/>
        <v>0</v>
      </c>
      <c r="N24" s="1">
        <f t="shared" si="5"/>
        <v>1</v>
      </c>
      <c r="O24" s="18">
        <v>149</v>
      </c>
      <c r="P24" s="18">
        <v>0.27300000190734863</v>
      </c>
      <c r="Q24" s="3">
        <f t="shared" si="6"/>
        <v>0</v>
      </c>
      <c r="R24" s="1">
        <f t="shared" si="7"/>
        <v>1</v>
      </c>
      <c r="S24" s="18">
        <v>149</v>
      </c>
      <c r="T24" s="18">
        <v>0.31499999761581421</v>
      </c>
      <c r="U24" s="3">
        <f t="shared" si="8"/>
        <v>0</v>
      </c>
      <c r="V24" s="1">
        <f t="shared" si="9"/>
        <v>1</v>
      </c>
      <c r="W24" s="18">
        <v>149</v>
      </c>
      <c r="X24" s="18">
        <v>0.35199999809265137</v>
      </c>
      <c r="Y24" s="3">
        <f t="shared" si="10"/>
        <v>0</v>
      </c>
      <c r="Z24" s="1">
        <f t="shared" si="11"/>
        <v>1</v>
      </c>
      <c r="AA24" s="18">
        <v>149</v>
      </c>
      <c r="AB24" s="18">
        <v>0.39500001072883606</v>
      </c>
      <c r="AC24" s="3">
        <f t="shared" si="12"/>
        <v>0</v>
      </c>
      <c r="AD24" s="1">
        <f t="shared" si="13"/>
        <v>1</v>
      </c>
      <c r="AE24" s="18">
        <v>149</v>
      </c>
      <c r="AF24" s="18">
        <v>0.43900001049041748</v>
      </c>
      <c r="AG24" s="3">
        <f t="shared" si="14"/>
        <v>0</v>
      </c>
      <c r="AH24" s="1">
        <f t="shared" si="15"/>
        <v>1</v>
      </c>
      <c r="AI24" s="18">
        <v>149</v>
      </c>
      <c r="AJ24" s="18">
        <v>0.4830000102519989</v>
      </c>
      <c r="AK24" s="3">
        <f t="shared" si="16"/>
        <v>0</v>
      </c>
      <c r="AL24" s="1">
        <f t="shared" si="17"/>
        <v>1</v>
      </c>
      <c r="AM24" s="18">
        <v>149</v>
      </c>
      <c r="AN24" s="18">
        <v>0.52399998903274536</v>
      </c>
      <c r="AO24" s="3">
        <f t="shared" si="18"/>
        <v>0</v>
      </c>
      <c r="AP24" s="1">
        <f t="shared" si="19"/>
        <v>1</v>
      </c>
      <c r="AR24" s="2">
        <f t="shared" si="20"/>
        <v>149</v>
      </c>
    </row>
    <row r="25" spans="2:44" ht="16" x14ac:dyDescent="0.2">
      <c r="B25" s="18" t="s">
        <v>15</v>
      </c>
      <c r="C25" s="18">
        <v>43</v>
      </c>
      <c r="D25" s="18">
        <v>1.0000000474974513E-3</v>
      </c>
      <c r="E25" s="3">
        <f t="shared" si="1"/>
        <v>0</v>
      </c>
      <c r="F25" s="1">
        <f t="shared" si="2"/>
        <v>1</v>
      </c>
      <c r="G25" s="18">
        <v>43</v>
      </c>
      <c r="H25" s="18">
        <v>2.0000000949949026E-3</v>
      </c>
      <c r="I25" s="3">
        <f t="shared" si="3"/>
        <v>0</v>
      </c>
      <c r="J25" s="1">
        <f t="shared" si="4"/>
        <v>1</v>
      </c>
      <c r="K25" s="18">
        <v>43</v>
      </c>
      <c r="L25" s="18">
        <v>2.0000000949949026E-3</v>
      </c>
      <c r="M25" s="3">
        <f t="shared" si="21"/>
        <v>0</v>
      </c>
      <c r="N25" s="1">
        <f t="shared" si="5"/>
        <v>1</v>
      </c>
      <c r="O25" s="18">
        <v>43</v>
      </c>
      <c r="P25" s="18">
        <v>3.0000000260770321E-3</v>
      </c>
      <c r="Q25" s="3">
        <f t="shared" si="6"/>
        <v>0</v>
      </c>
      <c r="R25" s="1">
        <f t="shared" si="7"/>
        <v>1</v>
      </c>
      <c r="S25" s="18">
        <v>43</v>
      </c>
      <c r="T25" s="18">
        <v>3.0000000260770321E-3</v>
      </c>
      <c r="U25" s="3">
        <f t="shared" si="8"/>
        <v>0</v>
      </c>
      <c r="V25" s="1">
        <f t="shared" si="9"/>
        <v>1</v>
      </c>
      <c r="W25" s="18">
        <v>43</v>
      </c>
      <c r="X25" s="18">
        <v>3.0000000260770321E-3</v>
      </c>
      <c r="Y25" s="3">
        <f t="shared" si="10"/>
        <v>0</v>
      </c>
      <c r="Z25" s="1">
        <f t="shared" si="11"/>
        <v>1</v>
      </c>
      <c r="AA25" s="18">
        <v>43</v>
      </c>
      <c r="AB25" s="18">
        <v>4.0000001899898052E-3</v>
      </c>
      <c r="AC25" s="3">
        <f t="shared" si="12"/>
        <v>0</v>
      </c>
      <c r="AD25" s="1">
        <f t="shared" si="13"/>
        <v>1</v>
      </c>
      <c r="AE25" s="18">
        <v>43</v>
      </c>
      <c r="AF25" s="18">
        <v>4.999999888241291E-3</v>
      </c>
      <c r="AG25" s="3">
        <f t="shared" si="14"/>
        <v>0</v>
      </c>
      <c r="AH25" s="1">
        <f t="shared" si="15"/>
        <v>1</v>
      </c>
      <c r="AI25" s="18">
        <v>43</v>
      </c>
      <c r="AJ25" s="18">
        <v>4.999999888241291E-3</v>
      </c>
      <c r="AK25" s="3">
        <f t="shared" si="16"/>
        <v>0</v>
      </c>
      <c r="AL25" s="1">
        <f t="shared" si="17"/>
        <v>1</v>
      </c>
      <c r="AM25" s="18">
        <v>43</v>
      </c>
      <c r="AN25" s="18">
        <v>4.999999888241291E-3</v>
      </c>
      <c r="AO25" s="3">
        <f t="shared" si="18"/>
        <v>0</v>
      </c>
      <c r="AP25" s="1">
        <f t="shared" si="19"/>
        <v>1</v>
      </c>
      <c r="AR25" s="2">
        <f t="shared" si="20"/>
        <v>43</v>
      </c>
    </row>
    <row r="26" spans="2:44" ht="16" x14ac:dyDescent="0.2">
      <c r="B26" s="18" t="s">
        <v>16</v>
      </c>
      <c r="C26" s="18">
        <v>18</v>
      </c>
      <c r="D26" s="18">
        <v>1.1599999666213989</v>
      </c>
      <c r="E26" s="3">
        <f t="shared" si="1"/>
        <v>0</v>
      </c>
      <c r="F26" s="1">
        <f t="shared" si="2"/>
        <v>1</v>
      </c>
      <c r="G26" s="18">
        <v>18</v>
      </c>
      <c r="H26" s="18">
        <v>2.3550000190734863</v>
      </c>
      <c r="I26" s="3">
        <f t="shared" si="3"/>
        <v>0</v>
      </c>
      <c r="J26" s="1">
        <f t="shared" si="4"/>
        <v>1</v>
      </c>
      <c r="K26" s="18">
        <v>18</v>
      </c>
      <c r="L26" s="18">
        <v>3.5260000228881836</v>
      </c>
      <c r="M26" s="3">
        <f t="shared" si="21"/>
        <v>0</v>
      </c>
      <c r="N26" s="1">
        <f t="shared" si="5"/>
        <v>1</v>
      </c>
      <c r="O26" s="18">
        <v>18</v>
      </c>
      <c r="P26" s="18">
        <v>4.6630001068115234</v>
      </c>
      <c r="Q26" s="3">
        <f t="shared" si="6"/>
        <v>0</v>
      </c>
      <c r="R26" s="1">
        <f t="shared" si="7"/>
        <v>1</v>
      </c>
      <c r="S26" s="18">
        <v>18</v>
      </c>
      <c r="T26" s="18">
        <v>5.8070001602172852</v>
      </c>
      <c r="U26" s="3">
        <f t="shared" si="8"/>
        <v>0</v>
      </c>
      <c r="V26" s="1">
        <f t="shared" si="9"/>
        <v>1</v>
      </c>
      <c r="W26" s="18">
        <v>18</v>
      </c>
      <c r="X26" s="18">
        <v>6.9149999618530273</v>
      </c>
      <c r="Y26" s="3">
        <f t="shared" si="10"/>
        <v>0</v>
      </c>
      <c r="Z26" s="1">
        <f t="shared" si="11"/>
        <v>1</v>
      </c>
      <c r="AA26" s="18">
        <v>18</v>
      </c>
      <c r="AB26" s="18">
        <v>8.1180000305175781</v>
      </c>
      <c r="AC26" s="3">
        <f t="shared" si="12"/>
        <v>0</v>
      </c>
      <c r="AD26" s="1">
        <f t="shared" si="13"/>
        <v>1</v>
      </c>
      <c r="AE26" s="18">
        <v>18</v>
      </c>
      <c r="AF26" s="18">
        <v>9.2220001220703125</v>
      </c>
      <c r="AG26" s="3">
        <f t="shared" si="14"/>
        <v>0</v>
      </c>
      <c r="AH26" s="1">
        <f t="shared" si="15"/>
        <v>1</v>
      </c>
      <c r="AI26" s="18">
        <v>18</v>
      </c>
      <c r="AJ26" s="18">
        <v>10.048999786376953</v>
      </c>
      <c r="AK26" s="3">
        <f t="shared" si="16"/>
        <v>0</v>
      </c>
      <c r="AL26" s="1">
        <f t="shared" si="17"/>
        <v>1</v>
      </c>
      <c r="AM26" s="18">
        <v>18</v>
      </c>
      <c r="AN26" s="18">
        <v>11.460000038146973</v>
      </c>
      <c r="AO26" s="3">
        <f t="shared" si="18"/>
        <v>0</v>
      </c>
      <c r="AP26" s="1">
        <f t="shared" si="19"/>
        <v>1</v>
      </c>
      <c r="AR26" s="2">
        <f t="shared" si="20"/>
        <v>18</v>
      </c>
    </row>
    <row r="27" spans="2:44" ht="16" x14ac:dyDescent="0.2">
      <c r="B27" s="18" t="s">
        <v>17</v>
      </c>
      <c r="C27" s="18">
        <v>3</v>
      </c>
      <c r="D27" s="18">
        <v>1.8910000324249268</v>
      </c>
      <c r="E27" s="3">
        <f t="shared" si="1"/>
        <v>0</v>
      </c>
      <c r="F27" s="1">
        <f t="shared" si="2"/>
        <v>1</v>
      </c>
      <c r="G27" s="18">
        <v>3</v>
      </c>
      <c r="H27" s="18">
        <v>3.187000036239624</v>
      </c>
      <c r="I27" s="3">
        <f t="shared" si="3"/>
        <v>0</v>
      </c>
      <c r="J27" s="1">
        <f t="shared" si="4"/>
        <v>1</v>
      </c>
      <c r="K27" s="18">
        <v>3</v>
      </c>
      <c r="L27" s="18">
        <v>4.8499999046325684</v>
      </c>
      <c r="M27" s="3">
        <f t="shared" si="21"/>
        <v>0</v>
      </c>
      <c r="N27" s="1">
        <f t="shared" si="5"/>
        <v>1</v>
      </c>
      <c r="O27" s="18">
        <v>3</v>
      </c>
      <c r="P27" s="18">
        <v>6.5780000686645508</v>
      </c>
      <c r="Q27" s="3">
        <f t="shared" si="6"/>
        <v>0</v>
      </c>
      <c r="R27" s="1">
        <f t="shared" si="7"/>
        <v>1</v>
      </c>
      <c r="S27" s="18">
        <v>3</v>
      </c>
      <c r="T27" s="18">
        <v>8.069000244140625</v>
      </c>
      <c r="U27" s="3">
        <f t="shared" si="8"/>
        <v>0</v>
      </c>
      <c r="V27" s="1">
        <f t="shared" si="9"/>
        <v>1</v>
      </c>
      <c r="W27" s="18">
        <v>3</v>
      </c>
      <c r="X27" s="18">
        <v>9.5450000762939453</v>
      </c>
      <c r="Y27" s="3">
        <f t="shared" si="10"/>
        <v>0</v>
      </c>
      <c r="Z27" s="1">
        <f t="shared" si="11"/>
        <v>1</v>
      </c>
      <c r="AA27" s="18">
        <v>3</v>
      </c>
      <c r="AB27" s="18">
        <v>11.263999938964844</v>
      </c>
      <c r="AC27" s="3">
        <f t="shared" si="12"/>
        <v>0</v>
      </c>
      <c r="AD27" s="1">
        <f t="shared" si="13"/>
        <v>1</v>
      </c>
      <c r="AE27" s="18">
        <v>3</v>
      </c>
      <c r="AF27" s="18">
        <v>12.699000358581543</v>
      </c>
      <c r="AG27" s="3">
        <f t="shared" si="14"/>
        <v>0</v>
      </c>
      <c r="AH27" s="1">
        <f t="shared" si="15"/>
        <v>1</v>
      </c>
      <c r="AI27" s="18">
        <v>3</v>
      </c>
      <c r="AJ27" s="18">
        <v>14.461000442504883</v>
      </c>
      <c r="AK27" s="3">
        <f t="shared" si="16"/>
        <v>0</v>
      </c>
      <c r="AL27" s="1">
        <f t="shared" si="17"/>
        <v>1</v>
      </c>
      <c r="AM27" s="18">
        <v>3</v>
      </c>
      <c r="AN27" s="18">
        <v>16.017999649047852</v>
      </c>
      <c r="AO27" s="3">
        <f t="shared" si="18"/>
        <v>0</v>
      </c>
      <c r="AP27" s="1">
        <f t="shared" si="19"/>
        <v>1</v>
      </c>
      <c r="AR27" s="2">
        <f t="shared" si="20"/>
        <v>3</v>
      </c>
    </row>
    <row r="28" spans="2:44" ht="16" x14ac:dyDescent="0.2">
      <c r="B28" s="18" t="s">
        <v>18</v>
      </c>
      <c r="C28" s="18">
        <v>59</v>
      </c>
      <c r="D28" s="18">
        <v>2.4000000208616257E-2</v>
      </c>
      <c r="E28" s="3">
        <f t="shared" si="1"/>
        <v>0</v>
      </c>
      <c r="F28" s="1">
        <f t="shared" si="2"/>
        <v>1</v>
      </c>
      <c r="G28" s="18">
        <v>59</v>
      </c>
      <c r="H28" s="18">
        <v>4.6999998390674591E-2</v>
      </c>
      <c r="I28" s="3">
        <f t="shared" si="3"/>
        <v>0</v>
      </c>
      <c r="J28" s="1">
        <f t="shared" si="4"/>
        <v>1</v>
      </c>
      <c r="K28" s="18">
        <v>59</v>
      </c>
      <c r="L28" s="18">
        <v>6.8000003695487976E-2</v>
      </c>
      <c r="M28" s="3">
        <f t="shared" si="21"/>
        <v>0</v>
      </c>
      <c r="N28" s="1">
        <f t="shared" si="5"/>
        <v>1</v>
      </c>
      <c r="O28" s="18">
        <v>59</v>
      </c>
      <c r="P28" s="18">
        <v>8.9000001549720764E-2</v>
      </c>
      <c r="Q28" s="3">
        <f t="shared" si="6"/>
        <v>0</v>
      </c>
      <c r="R28" s="1">
        <f t="shared" si="7"/>
        <v>1</v>
      </c>
      <c r="S28" s="18">
        <v>59</v>
      </c>
      <c r="T28" s="18">
        <v>0.1120000034570694</v>
      </c>
      <c r="U28" s="3">
        <f t="shared" si="8"/>
        <v>0</v>
      </c>
      <c r="V28" s="1">
        <f t="shared" si="9"/>
        <v>1</v>
      </c>
      <c r="W28" s="18">
        <v>59</v>
      </c>
      <c r="X28" s="18">
        <v>0.13500000536441803</v>
      </c>
      <c r="Y28" s="3">
        <f t="shared" si="10"/>
        <v>0</v>
      </c>
      <c r="Z28" s="1">
        <f t="shared" si="11"/>
        <v>1</v>
      </c>
      <c r="AA28" s="18">
        <v>59</v>
      </c>
      <c r="AB28" s="18">
        <v>0.15099999308586121</v>
      </c>
      <c r="AC28" s="3">
        <f t="shared" si="12"/>
        <v>0</v>
      </c>
      <c r="AD28" s="1">
        <f t="shared" si="13"/>
        <v>1</v>
      </c>
      <c r="AE28" s="18">
        <v>59</v>
      </c>
      <c r="AF28" s="18">
        <v>0.17399999499320984</v>
      </c>
      <c r="AG28" s="3">
        <f t="shared" si="14"/>
        <v>0</v>
      </c>
      <c r="AH28" s="1">
        <f t="shared" si="15"/>
        <v>1</v>
      </c>
      <c r="AI28" s="18">
        <v>59</v>
      </c>
      <c r="AJ28" s="18">
        <v>0.19599999487400055</v>
      </c>
      <c r="AK28" s="3">
        <f t="shared" si="16"/>
        <v>0</v>
      </c>
      <c r="AL28" s="1">
        <f t="shared" si="17"/>
        <v>1</v>
      </c>
      <c r="AM28" s="18">
        <v>59</v>
      </c>
      <c r="AN28" s="18">
        <v>0.21600000560283661</v>
      </c>
      <c r="AO28" s="3">
        <f t="shared" si="18"/>
        <v>0</v>
      </c>
      <c r="AP28" s="1">
        <f t="shared" si="19"/>
        <v>1</v>
      </c>
      <c r="AR28" s="2">
        <f t="shared" si="20"/>
        <v>59</v>
      </c>
    </row>
    <row r="29" spans="2:44" ht="16" x14ac:dyDescent="0.2">
      <c r="B29" s="18" t="s">
        <v>19</v>
      </c>
      <c r="C29" s="18">
        <v>339</v>
      </c>
      <c r="D29" s="18">
        <v>0.54699999094009399</v>
      </c>
      <c r="E29" s="3">
        <f t="shared" si="1"/>
        <v>4.6296296296296294E-2</v>
      </c>
      <c r="F29" s="1">
        <f t="shared" si="2"/>
        <v>0</v>
      </c>
      <c r="G29" s="18">
        <v>327</v>
      </c>
      <c r="H29" s="18">
        <v>0.9779999852180481</v>
      </c>
      <c r="I29" s="3">
        <f t="shared" si="3"/>
        <v>9.2592592592592587E-3</v>
      </c>
      <c r="J29" s="1">
        <f t="shared" si="4"/>
        <v>0</v>
      </c>
      <c r="K29" s="18">
        <v>327</v>
      </c>
      <c r="L29" s="18">
        <v>1.1150000095367432</v>
      </c>
      <c r="M29" s="3">
        <f t="shared" si="21"/>
        <v>9.2592592592592587E-3</v>
      </c>
      <c r="N29" s="1">
        <f t="shared" si="5"/>
        <v>0</v>
      </c>
      <c r="O29" s="18">
        <v>324</v>
      </c>
      <c r="P29" s="18">
        <v>1.503000020980835</v>
      </c>
      <c r="Q29" s="3">
        <f t="shared" si="6"/>
        <v>0</v>
      </c>
      <c r="R29" s="1">
        <f t="shared" si="7"/>
        <v>1</v>
      </c>
      <c r="S29" s="18">
        <v>324</v>
      </c>
      <c r="T29" s="18">
        <v>1.6150000095367432</v>
      </c>
      <c r="U29" s="3">
        <f t="shared" si="8"/>
        <v>0</v>
      </c>
      <c r="V29" s="1">
        <f t="shared" si="9"/>
        <v>1</v>
      </c>
      <c r="W29" s="18">
        <v>324</v>
      </c>
      <c r="X29" s="18">
        <v>1.6269999742507935</v>
      </c>
      <c r="Y29" s="3">
        <f t="shared" si="10"/>
        <v>0</v>
      </c>
      <c r="Z29" s="1">
        <f t="shared" si="11"/>
        <v>1</v>
      </c>
      <c r="AA29" s="18">
        <v>324</v>
      </c>
      <c r="AB29" s="18">
        <v>1.718000054359436</v>
      </c>
      <c r="AC29" s="3">
        <f t="shared" si="12"/>
        <v>0</v>
      </c>
      <c r="AD29" s="1">
        <f t="shared" si="13"/>
        <v>1</v>
      </c>
      <c r="AE29" s="18">
        <v>324</v>
      </c>
      <c r="AF29" s="18">
        <v>1.809999942779541</v>
      </c>
      <c r="AG29" s="3">
        <f t="shared" si="14"/>
        <v>0</v>
      </c>
      <c r="AH29" s="1">
        <f t="shared" si="15"/>
        <v>1</v>
      </c>
      <c r="AI29" s="18">
        <v>324</v>
      </c>
      <c r="AJ29" s="18">
        <v>1.9079999923706055</v>
      </c>
      <c r="AK29" s="3">
        <f t="shared" si="16"/>
        <v>0</v>
      </c>
      <c r="AL29" s="1">
        <f t="shared" si="17"/>
        <v>1</v>
      </c>
      <c r="AM29" s="18">
        <v>324</v>
      </c>
      <c r="AN29" s="18">
        <v>1.9900000095367432</v>
      </c>
      <c r="AO29" s="3">
        <f t="shared" si="18"/>
        <v>0</v>
      </c>
      <c r="AP29" s="1">
        <f t="shared" si="19"/>
        <v>1</v>
      </c>
      <c r="AR29" s="2">
        <f t="shared" si="20"/>
        <v>324</v>
      </c>
    </row>
    <row r="30" spans="2:44" ht="16" x14ac:dyDescent="0.2">
      <c r="B30" s="18" t="s">
        <v>20</v>
      </c>
      <c r="C30" s="18">
        <v>568</v>
      </c>
      <c r="D30" s="18">
        <v>2.7249999046325684</v>
      </c>
      <c r="E30" s="3">
        <f t="shared" si="1"/>
        <v>7.9847908745247151E-2</v>
      </c>
      <c r="F30" s="1">
        <f t="shared" si="2"/>
        <v>0</v>
      </c>
      <c r="G30" s="18">
        <v>532</v>
      </c>
      <c r="H30" s="18">
        <v>8.6879997253417969</v>
      </c>
      <c r="I30" s="3">
        <f t="shared" si="3"/>
        <v>1.1406844106463879E-2</v>
      </c>
      <c r="J30" s="1">
        <f t="shared" si="4"/>
        <v>0</v>
      </c>
      <c r="K30" s="18">
        <v>526</v>
      </c>
      <c r="L30" s="18">
        <v>17.35099983215332</v>
      </c>
      <c r="M30" s="3">
        <f t="shared" si="21"/>
        <v>0</v>
      </c>
      <c r="N30" s="1">
        <f t="shared" si="5"/>
        <v>1</v>
      </c>
      <c r="O30" s="18">
        <v>526</v>
      </c>
      <c r="P30" s="18">
        <v>18.482999801635742</v>
      </c>
      <c r="Q30" s="3">
        <f t="shared" si="6"/>
        <v>0</v>
      </c>
      <c r="R30" s="1">
        <f t="shared" si="7"/>
        <v>1</v>
      </c>
      <c r="S30" s="18">
        <v>526</v>
      </c>
      <c r="T30" s="18">
        <v>19.58799934387207</v>
      </c>
      <c r="U30" s="3">
        <f t="shared" si="8"/>
        <v>0</v>
      </c>
      <c r="V30" s="1">
        <f t="shared" si="9"/>
        <v>1</v>
      </c>
      <c r="W30" s="18">
        <v>526</v>
      </c>
      <c r="X30" s="18">
        <v>19.606000900268555</v>
      </c>
      <c r="Y30" s="3">
        <f t="shared" si="10"/>
        <v>0</v>
      </c>
      <c r="Z30" s="1">
        <f t="shared" si="11"/>
        <v>1</v>
      </c>
      <c r="AA30" s="18">
        <v>526</v>
      </c>
      <c r="AB30" s="18">
        <v>20.759000778198242</v>
      </c>
      <c r="AC30" s="3">
        <f t="shared" si="12"/>
        <v>0</v>
      </c>
      <c r="AD30" s="1">
        <f t="shared" si="13"/>
        <v>1</v>
      </c>
      <c r="AE30" s="18">
        <v>526</v>
      </c>
      <c r="AF30" s="18">
        <v>21.643999099731445</v>
      </c>
      <c r="AG30" s="3">
        <f t="shared" si="14"/>
        <v>0</v>
      </c>
      <c r="AH30" s="1">
        <f t="shared" si="15"/>
        <v>1</v>
      </c>
      <c r="AI30" s="18">
        <v>526</v>
      </c>
      <c r="AJ30" s="18">
        <v>22.729000091552734</v>
      </c>
      <c r="AK30" s="3">
        <f t="shared" si="16"/>
        <v>0</v>
      </c>
      <c r="AL30" s="1">
        <f t="shared" si="17"/>
        <v>1</v>
      </c>
      <c r="AM30" s="18">
        <v>526</v>
      </c>
      <c r="AN30" s="18">
        <v>23.680999755859375</v>
      </c>
      <c r="AO30" s="3">
        <f t="shared" si="18"/>
        <v>0</v>
      </c>
      <c r="AP30" s="1">
        <f t="shared" si="19"/>
        <v>1</v>
      </c>
      <c r="AR30" s="2">
        <f t="shared" si="20"/>
        <v>526</v>
      </c>
    </row>
    <row r="31" spans="2:44" ht="16" x14ac:dyDescent="0.2">
      <c r="B31" s="18" t="s">
        <v>21</v>
      </c>
      <c r="C31" s="18">
        <v>112</v>
      </c>
      <c r="D31" s="18">
        <v>3.062000036239624</v>
      </c>
      <c r="E31" s="3">
        <f t="shared" si="1"/>
        <v>9.8039215686274508E-2</v>
      </c>
      <c r="F31" s="1">
        <f t="shared" si="2"/>
        <v>0</v>
      </c>
      <c r="G31" s="18">
        <v>112</v>
      </c>
      <c r="H31" s="18">
        <v>4.9010000228881836</v>
      </c>
      <c r="I31" s="3">
        <f t="shared" si="3"/>
        <v>9.8039215686274508E-2</v>
      </c>
      <c r="J31" s="1">
        <f t="shared" si="4"/>
        <v>0</v>
      </c>
      <c r="K31" s="18">
        <v>112</v>
      </c>
      <c r="L31" s="18">
        <v>6.5450000762939453</v>
      </c>
      <c r="M31" s="3">
        <f t="shared" si="21"/>
        <v>9.8039215686274508E-2</v>
      </c>
      <c r="N31" s="1">
        <f t="shared" si="5"/>
        <v>0</v>
      </c>
      <c r="O31" s="18">
        <v>112</v>
      </c>
      <c r="P31" s="18">
        <v>8.180999755859375</v>
      </c>
      <c r="Q31" s="3">
        <f t="shared" si="6"/>
        <v>9.8039215686274508E-2</v>
      </c>
      <c r="R31" s="1">
        <f t="shared" si="7"/>
        <v>0</v>
      </c>
      <c r="S31" s="18">
        <v>102</v>
      </c>
      <c r="T31" s="18">
        <v>29.652999877929688</v>
      </c>
      <c r="U31" s="3">
        <f t="shared" si="8"/>
        <v>0</v>
      </c>
      <c r="V31" s="1">
        <f t="shared" si="9"/>
        <v>1</v>
      </c>
      <c r="W31" s="18">
        <v>102</v>
      </c>
      <c r="X31" s="18">
        <v>31.419000625610352</v>
      </c>
      <c r="Y31" s="3">
        <f t="shared" si="10"/>
        <v>0</v>
      </c>
      <c r="Z31" s="1">
        <f t="shared" si="11"/>
        <v>1</v>
      </c>
      <c r="AA31" s="18">
        <v>102</v>
      </c>
      <c r="AB31" s="18">
        <v>33.178001403808594</v>
      </c>
      <c r="AC31" s="3">
        <f t="shared" si="12"/>
        <v>0</v>
      </c>
      <c r="AD31" s="1">
        <f t="shared" si="13"/>
        <v>1</v>
      </c>
      <c r="AE31" s="18">
        <v>102</v>
      </c>
      <c r="AF31" s="18">
        <v>34.847000122070312</v>
      </c>
      <c r="AG31" s="3">
        <f t="shared" si="14"/>
        <v>0</v>
      </c>
      <c r="AH31" s="1">
        <f t="shared" si="15"/>
        <v>1</v>
      </c>
      <c r="AI31" s="18">
        <v>102</v>
      </c>
      <c r="AJ31" s="18">
        <v>36.849998474121094</v>
      </c>
      <c r="AK31" s="3">
        <f t="shared" si="16"/>
        <v>0</v>
      </c>
      <c r="AL31" s="1">
        <f t="shared" si="17"/>
        <v>1</v>
      </c>
      <c r="AM31" s="18">
        <v>102</v>
      </c>
      <c r="AN31" s="18">
        <v>38.699001312255859</v>
      </c>
      <c r="AO31" s="3">
        <f t="shared" si="18"/>
        <v>0</v>
      </c>
      <c r="AP31" s="1">
        <f t="shared" si="19"/>
        <v>1</v>
      </c>
      <c r="AR31" s="2">
        <f t="shared" si="20"/>
        <v>102</v>
      </c>
    </row>
    <row r="32" spans="2:44" ht="16" x14ac:dyDescent="0.2">
      <c r="B32" s="18" t="s">
        <v>22</v>
      </c>
      <c r="C32" s="18">
        <v>19</v>
      </c>
      <c r="D32" s="18">
        <v>1.0000000474974513E-3</v>
      </c>
      <c r="E32" s="3">
        <f t="shared" si="1"/>
        <v>0</v>
      </c>
      <c r="F32" s="1">
        <f t="shared" si="2"/>
        <v>1</v>
      </c>
      <c r="G32" s="18">
        <v>19</v>
      </c>
      <c r="H32" s="18">
        <v>2.0000000949949026E-3</v>
      </c>
      <c r="I32" s="3">
        <f t="shared" si="3"/>
        <v>0</v>
      </c>
      <c r="J32" s="1">
        <f t="shared" si="4"/>
        <v>1</v>
      </c>
      <c r="K32" s="18">
        <v>19</v>
      </c>
      <c r="L32" s="18">
        <v>2.0000000949949026E-3</v>
      </c>
      <c r="M32" s="3">
        <f t="shared" si="21"/>
        <v>0</v>
      </c>
      <c r="N32" s="1">
        <f t="shared" si="5"/>
        <v>1</v>
      </c>
      <c r="O32" s="18">
        <v>19</v>
      </c>
      <c r="P32" s="18">
        <v>3.0000000260770321E-3</v>
      </c>
      <c r="Q32" s="3">
        <f t="shared" si="6"/>
        <v>0</v>
      </c>
      <c r="R32" s="1">
        <f t="shared" si="7"/>
        <v>1</v>
      </c>
      <c r="S32" s="18">
        <v>19</v>
      </c>
      <c r="T32" s="18">
        <v>4.0000001899898052E-3</v>
      </c>
      <c r="U32" s="3">
        <f t="shared" si="8"/>
        <v>0</v>
      </c>
      <c r="V32" s="1">
        <f t="shared" si="9"/>
        <v>1</v>
      </c>
      <c r="W32" s="18">
        <v>19</v>
      </c>
      <c r="X32" s="18">
        <v>4.0000001899898052E-3</v>
      </c>
      <c r="Y32" s="3">
        <f t="shared" si="10"/>
        <v>0</v>
      </c>
      <c r="Z32" s="1">
        <f t="shared" si="11"/>
        <v>1</v>
      </c>
      <c r="AA32" s="18">
        <v>19</v>
      </c>
      <c r="AB32" s="18">
        <v>6.0000000521540642E-3</v>
      </c>
      <c r="AC32" s="3">
        <f t="shared" si="12"/>
        <v>0</v>
      </c>
      <c r="AD32" s="1">
        <f t="shared" si="13"/>
        <v>1</v>
      </c>
      <c r="AE32" s="18">
        <v>19</v>
      </c>
      <c r="AF32" s="18">
        <v>6.0000000521540642E-3</v>
      </c>
      <c r="AG32" s="3">
        <f t="shared" si="14"/>
        <v>0</v>
      </c>
      <c r="AH32" s="1">
        <f t="shared" si="15"/>
        <v>1</v>
      </c>
      <c r="AI32" s="18">
        <v>19</v>
      </c>
      <c r="AJ32" s="18">
        <v>7.0000002160668373E-3</v>
      </c>
      <c r="AK32" s="3">
        <f t="shared" si="16"/>
        <v>0</v>
      </c>
      <c r="AL32" s="1">
        <f t="shared" si="17"/>
        <v>1</v>
      </c>
      <c r="AM32" s="18">
        <v>19</v>
      </c>
      <c r="AN32" s="18">
        <v>8.0000003799796104E-3</v>
      </c>
      <c r="AO32" s="3">
        <f t="shared" si="18"/>
        <v>0</v>
      </c>
      <c r="AP32" s="1">
        <f t="shared" si="19"/>
        <v>1</v>
      </c>
      <c r="AR32" s="2">
        <f t="shared" si="20"/>
        <v>19</v>
      </c>
    </row>
    <row r="33" spans="2:44" ht="16" x14ac:dyDescent="0.2">
      <c r="B33" s="18" t="s">
        <v>23</v>
      </c>
      <c r="C33" s="18">
        <v>39</v>
      </c>
      <c r="D33" s="18">
        <v>0.38899999856948853</v>
      </c>
      <c r="E33" s="3">
        <f t="shared" si="1"/>
        <v>0</v>
      </c>
      <c r="F33" s="1">
        <f t="shared" si="2"/>
        <v>1</v>
      </c>
      <c r="G33" s="18">
        <v>39</v>
      </c>
      <c r="H33" s="18">
        <v>0.69599997997283936</v>
      </c>
      <c r="I33" s="3">
        <f t="shared" si="3"/>
        <v>0</v>
      </c>
      <c r="J33" s="1">
        <f t="shared" si="4"/>
        <v>1</v>
      </c>
      <c r="K33" s="18">
        <v>39</v>
      </c>
      <c r="L33" s="18">
        <v>1.0440000295639038</v>
      </c>
      <c r="M33" s="3">
        <f t="shared" si="21"/>
        <v>0</v>
      </c>
      <c r="N33" s="1">
        <f t="shared" si="5"/>
        <v>1</v>
      </c>
      <c r="O33" s="18">
        <v>39</v>
      </c>
      <c r="P33" s="18">
        <v>1.3420000076293945</v>
      </c>
      <c r="Q33" s="3">
        <f t="shared" si="6"/>
        <v>0</v>
      </c>
      <c r="R33" s="1">
        <f t="shared" si="7"/>
        <v>1</v>
      </c>
      <c r="S33" s="18">
        <v>39</v>
      </c>
      <c r="T33" s="18">
        <v>1.6770000457763672</v>
      </c>
      <c r="U33" s="3">
        <f t="shared" si="8"/>
        <v>0</v>
      </c>
      <c r="V33" s="1">
        <f t="shared" si="9"/>
        <v>1</v>
      </c>
      <c r="W33" s="18">
        <v>39</v>
      </c>
      <c r="X33" s="18">
        <v>1.9800000190734863</v>
      </c>
      <c r="Y33" s="3">
        <f t="shared" si="10"/>
        <v>0</v>
      </c>
      <c r="Z33" s="1">
        <f t="shared" si="11"/>
        <v>1</v>
      </c>
      <c r="AA33" s="18">
        <v>39</v>
      </c>
      <c r="AB33" s="18">
        <v>2.2890000343322754</v>
      </c>
      <c r="AC33" s="3">
        <f t="shared" si="12"/>
        <v>0</v>
      </c>
      <c r="AD33" s="1">
        <f t="shared" si="13"/>
        <v>1</v>
      </c>
      <c r="AE33" s="18">
        <v>39</v>
      </c>
      <c r="AF33" s="18">
        <v>2.6689999103546143</v>
      </c>
      <c r="AG33" s="3">
        <f t="shared" si="14"/>
        <v>0</v>
      </c>
      <c r="AH33" s="1">
        <f t="shared" si="15"/>
        <v>1</v>
      </c>
      <c r="AI33" s="18">
        <v>39</v>
      </c>
      <c r="AJ33" s="18">
        <v>3.0139999389648438</v>
      </c>
      <c r="AK33" s="3">
        <f t="shared" si="16"/>
        <v>0</v>
      </c>
      <c r="AL33" s="1">
        <f t="shared" si="17"/>
        <v>1</v>
      </c>
      <c r="AM33" s="18">
        <v>39</v>
      </c>
      <c r="AN33" s="18">
        <v>3.3059999942779541</v>
      </c>
      <c r="AO33" s="3">
        <f t="shared" si="18"/>
        <v>0</v>
      </c>
      <c r="AP33" s="1">
        <f t="shared" si="19"/>
        <v>1</v>
      </c>
      <c r="AR33" s="2">
        <f t="shared" si="20"/>
        <v>39</v>
      </c>
    </row>
    <row r="34" spans="2:44" ht="16" x14ac:dyDescent="0.2">
      <c r="B34" s="18" t="s">
        <v>24</v>
      </c>
      <c r="C34" s="18">
        <v>199</v>
      </c>
      <c r="D34" s="18">
        <v>0.12600000202655792</v>
      </c>
      <c r="E34" s="3">
        <f t="shared" si="1"/>
        <v>3.6458333333333336E-2</v>
      </c>
      <c r="F34" s="1">
        <f t="shared" si="2"/>
        <v>0</v>
      </c>
      <c r="G34" s="18">
        <v>192</v>
      </c>
      <c r="H34" s="18">
        <v>0.57400000095367432</v>
      </c>
      <c r="I34" s="3">
        <f t="shared" si="3"/>
        <v>0</v>
      </c>
      <c r="J34" s="1">
        <f t="shared" si="4"/>
        <v>1</v>
      </c>
      <c r="K34" s="18">
        <v>192</v>
      </c>
      <c r="L34" s="18">
        <v>0.65700000524520874</v>
      </c>
      <c r="M34" s="3">
        <f t="shared" si="21"/>
        <v>0</v>
      </c>
      <c r="N34" s="1">
        <f t="shared" si="5"/>
        <v>1</v>
      </c>
      <c r="O34" s="18">
        <v>192</v>
      </c>
      <c r="P34" s="18">
        <v>0.74000000953674316</v>
      </c>
      <c r="Q34" s="3">
        <f t="shared" si="6"/>
        <v>0</v>
      </c>
      <c r="R34" s="1">
        <f t="shared" si="7"/>
        <v>1</v>
      </c>
      <c r="S34" s="18">
        <v>192</v>
      </c>
      <c r="T34" s="18">
        <v>0.82099997997283936</v>
      </c>
      <c r="U34" s="3">
        <f t="shared" si="8"/>
        <v>0</v>
      </c>
      <c r="V34" s="1">
        <f t="shared" si="9"/>
        <v>1</v>
      </c>
      <c r="W34" s="18">
        <v>192</v>
      </c>
      <c r="X34" s="18">
        <v>0.88099998235702515</v>
      </c>
      <c r="Y34" s="3">
        <f t="shared" si="10"/>
        <v>0</v>
      </c>
      <c r="Z34" s="1">
        <f t="shared" si="11"/>
        <v>1</v>
      </c>
      <c r="AA34" s="18">
        <v>192</v>
      </c>
      <c r="AB34" s="18">
        <v>0.95899999141693115</v>
      </c>
      <c r="AC34" s="3">
        <f t="shared" si="12"/>
        <v>0</v>
      </c>
      <c r="AD34" s="1">
        <f t="shared" si="13"/>
        <v>1</v>
      </c>
      <c r="AE34" s="18">
        <v>192</v>
      </c>
      <c r="AF34" s="18">
        <v>1.0410000085830688</v>
      </c>
      <c r="AG34" s="3">
        <f t="shared" si="14"/>
        <v>0</v>
      </c>
      <c r="AH34" s="1">
        <f t="shared" si="15"/>
        <v>1</v>
      </c>
      <c r="AI34" s="18">
        <v>192</v>
      </c>
      <c r="AJ34" s="18">
        <v>1.1369999647140503</v>
      </c>
      <c r="AK34" s="3">
        <f t="shared" si="16"/>
        <v>0</v>
      </c>
      <c r="AL34" s="1">
        <f t="shared" si="17"/>
        <v>1</v>
      </c>
      <c r="AM34" s="18">
        <v>192</v>
      </c>
      <c r="AN34" s="18">
        <v>1.2539999485015869</v>
      </c>
      <c r="AO34" s="3">
        <f t="shared" si="18"/>
        <v>0</v>
      </c>
      <c r="AP34" s="1">
        <f t="shared" si="19"/>
        <v>1</v>
      </c>
      <c r="AR34" s="2">
        <f t="shared" si="20"/>
        <v>192</v>
      </c>
    </row>
    <row r="35" spans="2:44" ht="16" x14ac:dyDescent="0.2">
      <c r="B35" s="18" t="s">
        <v>25</v>
      </c>
      <c r="C35" s="18">
        <v>529</v>
      </c>
      <c r="D35" s="18">
        <v>0.32199999690055847</v>
      </c>
      <c r="E35" s="3">
        <f t="shared" si="1"/>
        <v>4.5454545454545456E-2</v>
      </c>
      <c r="F35" s="1">
        <f t="shared" si="2"/>
        <v>0</v>
      </c>
      <c r="G35" s="18">
        <v>514</v>
      </c>
      <c r="H35" s="18">
        <v>1.1000000238418579</v>
      </c>
      <c r="I35" s="3">
        <f t="shared" si="3"/>
        <v>1.5810276679841896E-2</v>
      </c>
      <c r="J35" s="1">
        <f t="shared" si="4"/>
        <v>0</v>
      </c>
      <c r="K35" s="18">
        <v>507</v>
      </c>
      <c r="L35" s="18">
        <v>2.3459999561309814</v>
      </c>
      <c r="M35" s="3">
        <f t="shared" si="21"/>
        <v>1.976284584980237E-3</v>
      </c>
      <c r="N35" s="1">
        <f t="shared" si="5"/>
        <v>0</v>
      </c>
      <c r="O35" s="18">
        <v>507</v>
      </c>
      <c r="P35" s="18">
        <v>2.4869999885559082</v>
      </c>
      <c r="Q35" s="3">
        <f t="shared" si="6"/>
        <v>1.976284584980237E-3</v>
      </c>
      <c r="R35" s="1">
        <f t="shared" si="7"/>
        <v>0</v>
      </c>
      <c r="S35" s="18">
        <v>507</v>
      </c>
      <c r="T35" s="18">
        <v>2.6449999809265137</v>
      </c>
      <c r="U35" s="3">
        <f t="shared" si="8"/>
        <v>1.976284584980237E-3</v>
      </c>
      <c r="V35" s="1">
        <f t="shared" si="9"/>
        <v>0</v>
      </c>
      <c r="W35" s="18">
        <v>507</v>
      </c>
      <c r="X35" s="18">
        <v>2.6559998989105225</v>
      </c>
      <c r="Y35" s="3">
        <f t="shared" si="10"/>
        <v>1.976284584980237E-3</v>
      </c>
      <c r="Z35" s="1">
        <f t="shared" si="11"/>
        <v>0</v>
      </c>
      <c r="AA35" s="18">
        <v>506</v>
      </c>
      <c r="AB35" s="18">
        <v>3.8389999866485596</v>
      </c>
      <c r="AC35" s="3">
        <f t="shared" si="12"/>
        <v>0</v>
      </c>
      <c r="AD35" s="1">
        <f t="shared" si="13"/>
        <v>1</v>
      </c>
      <c r="AE35" s="18">
        <v>506</v>
      </c>
      <c r="AF35" s="18">
        <v>3.9879999160766602</v>
      </c>
      <c r="AG35" s="3">
        <f t="shared" si="14"/>
        <v>0</v>
      </c>
      <c r="AH35" s="1">
        <f t="shared" si="15"/>
        <v>1</v>
      </c>
      <c r="AI35" s="18">
        <v>506</v>
      </c>
      <c r="AJ35" s="18">
        <v>4.1440000534057617</v>
      </c>
      <c r="AK35" s="3">
        <f t="shared" si="16"/>
        <v>0</v>
      </c>
      <c r="AL35" s="1">
        <f t="shared" si="17"/>
        <v>1</v>
      </c>
      <c r="AM35" s="18">
        <v>506</v>
      </c>
      <c r="AN35" s="18">
        <v>4.3000001907348633</v>
      </c>
      <c r="AO35" s="3">
        <f t="shared" si="18"/>
        <v>0</v>
      </c>
      <c r="AP35" s="1">
        <f t="shared" si="19"/>
        <v>1</v>
      </c>
      <c r="AR35" s="2">
        <f t="shared" si="20"/>
        <v>506</v>
      </c>
    </row>
    <row r="36" spans="2:44" ht="16" x14ac:dyDescent="0.2">
      <c r="B36" s="1" t="s">
        <v>26</v>
      </c>
      <c r="C36" s="18">
        <v>94</v>
      </c>
      <c r="D36" s="18">
        <v>1.4000000432133675E-2</v>
      </c>
      <c r="E36" s="3">
        <f t="shared" si="1"/>
        <v>0</v>
      </c>
      <c r="F36" s="1">
        <f t="shared" si="2"/>
        <v>1</v>
      </c>
      <c r="G36" s="18">
        <v>94</v>
      </c>
      <c r="H36" s="18">
        <v>2.500000037252903E-2</v>
      </c>
      <c r="I36" s="3">
        <f t="shared" si="3"/>
        <v>0</v>
      </c>
      <c r="J36" s="1">
        <f t="shared" si="4"/>
        <v>1</v>
      </c>
      <c r="K36" s="18">
        <v>94</v>
      </c>
      <c r="L36" s="18">
        <v>3.5000000149011612E-2</v>
      </c>
      <c r="M36" s="3">
        <f t="shared" si="21"/>
        <v>0</v>
      </c>
      <c r="N36" s="1">
        <f t="shared" si="5"/>
        <v>1</v>
      </c>
      <c r="O36" s="18">
        <v>94</v>
      </c>
      <c r="P36" s="18">
        <v>4.3999999761581421E-2</v>
      </c>
      <c r="Q36" s="3">
        <f t="shared" si="6"/>
        <v>0</v>
      </c>
      <c r="R36" s="1">
        <f t="shared" si="7"/>
        <v>1</v>
      </c>
      <c r="S36" s="18">
        <v>94</v>
      </c>
      <c r="T36" s="18">
        <v>5.4999999701976776E-2</v>
      </c>
      <c r="U36" s="3">
        <f t="shared" si="8"/>
        <v>0</v>
      </c>
      <c r="V36" s="1">
        <f t="shared" si="9"/>
        <v>1</v>
      </c>
      <c r="W36" s="18">
        <v>94</v>
      </c>
      <c r="X36" s="18">
        <v>6.5999999642372131E-2</v>
      </c>
      <c r="Y36" s="3">
        <f t="shared" si="10"/>
        <v>0</v>
      </c>
      <c r="Z36" s="1">
        <f t="shared" si="11"/>
        <v>1</v>
      </c>
      <c r="AA36" s="18">
        <v>94</v>
      </c>
      <c r="AB36" s="18">
        <v>7.6999999582767487E-2</v>
      </c>
      <c r="AC36" s="3">
        <f t="shared" si="12"/>
        <v>0</v>
      </c>
      <c r="AD36" s="1">
        <f t="shared" si="13"/>
        <v>1</v>
      </c>
      <c r="AE36" s="18">
        <v>94</v>
      </c>
      <c r="AF36" s="18">
        <v>8.7999999523162842E-2</v>
      </c>
      <c r="AG36" s="3">
        <f t="shared" si="14"/>
        <v>0</v>
      </c>
      <c r="AH36" s="1">
        <f t="shared" si="15"/>
        <v>1</v>
      </c>
      <c r="AI36" s="18">
        <v>94</v>
      </c>
      <c r="AJ36" s="18">
        <v>9.8999999463558197E-2</v>
      </c>
      <c r="AK36" s="3">
        <f t="shared" si="16"/>
        <v>0</v>
      </c>
      <c r="AL36" s="1">
        <f t="shared" si="17"/>
        <v>1</v>
      </c>
      <c r="AM36" s="18">
        <v>94</v>
      </c>
      <c r="AN36" s="18">
        <v>0.10999999940395355</v>
      </c>
      <c r="AO36" s="3">
        <f t="shared" si="18"/>
        <v>0</v>
      </c>
      <c r="AP36" s="1">
        <f t="shared" si="19"/>
        <v>1</v>
      </c>
      <c r="AR36" s="2">
        <f t="shared" si="20"/>
        <v>94</v>
      </c>
    </row>
    <row r="37" spans="2:44" ht="16" x14ac:dyDescent="0.2">
      <c r="B37" s="18" t="s">
        <v>27</v>
      </c>
      <c r="C37" s="18">
        <v>137</v>
      </c>
      <c r="D37" s="18">
        <v>4.3999999761581421E-2</v>
      </c>
      <c r="E37" s="3">
        <f t="shared" si="1"/>
        <v>1.4814814814814815E-2</v>
      </c>
      <c r="F37" s="1">
        <f t="shared" si="2"/>
        <v>0</v>
      </c>
      <c r="G37" s="18">
        <v>137</v>
      </c>
      <c r="H37" s="18">
        <v>5.9999998658895493E-2</v>
      </c>
      <c r="I37" s="3">
        <f t="shared" si="3"/>
        <v>1.4814814814814815E-2</v>
      </c>
      <c r="J37" s="1">
        <f t="shared" si="4"/>
        <v>0</v>
      </c>
      <c r="K37" s="18">
        <v>137</v>
      </c>
      <c r="L37" s="18">
        <v>7.2999998927116394E-2</v>
      </c>
      <c r="M37" s="3">
        <f t="shared" si="21"/>
        <v>1.4814814814814815E-2</v>
      </c>
      <c r="N37" s="1">
        <f t="shared" si="5"/>
        <v>0</v>
      </c>
      <c r="O37" s="18">
        <v>135</v>
      </c>
      <c r="P37" s="18">
        <v>0.1379999965429306</v>
      </c>
      <c r="Q37" s="3">
        <f t="shared" si="6"/>
        <v>0</v>
      </c>
      <c r="R37" s="1">
        <f t="shared" si="7"/>
        <v>1</v>
      </c>
      <c r="S37" s="18">
        <v>135</v>
      </c>
      <c r="T37" s="18">
        <v>0.14900000393390656</v>
      </c>
      <c r="U37" s="3">
        <f t="shared" si="8"/>
        <v>0</v>
      </c>
      <c r="V37" s="1">
        <f t="shared" si="9"/>
        <v>1</v>
      </c>
      <c r="W37" s="18">
        <v>135</v>
      </c>
      <c r="X37" s="18">
        <v>0.15999999642372131</v>
      </c>
      <c r="Y37" s="3">
        <f t="shared" si="10"/>
        <v>0</v>
      </c>
      <c r="Z37" s="1">
        <f t="shared" si="11"/>
        <v>1</v>
      </c>
      <c r="AA37" s="18">
        <v>135</v>
      </c>
      <c r="AB37" s="18">
        <v>0.17399999499320984</v>
      </c>
      <c r="AC37" s="3">
        <f t="shared" si="12"/>
        <v>0</v>
      </c>
      <c r="AD37" s="1">
        <f t="shared" si="13"/>
        <v>1</v>
      </c>
      <c r="AE37" s="18">
        <v>135</v>
      </c>
      <c r="AF37" s="18">
        <v>0.18600000441074371</v>
      </c>
      <c r="AG37" s="3">
        <f t="shared" si="14"/>
        <v>0</v>
      </c>
      <c r="AH37" s="1">
        <f t="shared" si="15"/>
        <v>1</v>
      </c>
      <c r="AI37" s="18">
        <v>135</v>
      </c>
      <c r="AJ37" s="18">
        <v>0.19799999892711639</v>
      </c>
      <c r="AK37" s="3">
        <f t="shared" si="16"/>
        <v>0</v>
      </c>
      <c r="AL37" s="1">
        <f t="shared" si="17"/>
        <v>1</v>
      </c>
      <c r="AM37" s="18">
        <v>135</v>
      </c>
      <c r="AN37" s="18">
        <v>0.20900000631809235</v>
      </c>
      <c r="AO37" s="3">
        <f t="shared" si="18"/>
        <v>0</v>
      </c>
      <c r="AP37" s="1">
        <f t="shared" si="19"/>
        <v>1</v>
      </c>
      <c r="AR37" s="2">
        <f t="shared" si="20"/>
        <v>135</v>
      </c>
    </row>
    <row r="38" spans="2:44" ht="16" x14ac:dyDescent="0.2">
      <c r="B38" s="18" t="s">
        <v>28</v>
      </c>
      <c r="C38" s="18">
        <v>35</v>
      </c>
      <c r="D38" s="18">
        <v>0.10400000214576721</v>
      </c>
      <c r="E38" s="3">
        <f t="shared" si="1"/>
        <v>0</v>
      </c>
      <c r="F38" s="1">
        <f t="shared" si="2"/>
        <v>1</v>
      </c>
      <c r="G38" s="18">
        <v>35</v>
      </c>
      <c r="H38" s="18">
        <v>0.17499999701976776</v>
      </c>
      <c r="I38" s="3">
        <f t="shared" si="3"/>
        <v>0</v>
      </c>
      <c r="J38" s="1">
        <f t="shared" si="4"/>
        <v>1</v>
      </c>
      <c r="K38" s="18">
        <v>35</v>
      </c>
      <c r="L38" s="18">
        <v>0.27099999785423279</v>
      </c>
      <c r="M38" s="3">
        <f t="shared" si="21"/>
        <v>0</v>
      </c>
      <c r="N38" s="1">
        <f t="shared" si="5"/>
        <v>1</v>
      </c>
      <c r="O38" s="18">
        <v>35</v>
      </c>
      <c r="P38" s="18">
        <v>0.34700000286102295</v>
      </c>
      <c r="Q38" s="3">
        <f t="shared" si="6"/>
        <v>0</v>
      </c>
      <c r="R38" s="1">
        <f t="shared" si="7"/>
        <v>1</v>
      </c>
      <c r="S38" s="18">
        <v>35</v>
      </c>
      <c r="T38" s="18">
        <v>0.43000000715255737</v>
      </c>
      <c r="U38" s="3">
        <f t="shared" si="8"/>
        <v>0</v>
      </c>
      <c r="V38" s="1">
        <f t="shared" si="9"/>
        <v>1</v>
      </c>
      <c r="W38" s="18">
        <v>35</v>
      </c>
      <c r="X38" s="18">
        <v>0.50400000810623169</v>
      </c>
      <c r="Y38" s="3">
        <f t="shared" si="10"/>
        <v>0</v>
      </c>
      <c r="Z38" s="1">
        <f t="shared" si="11"/>
        <v>1</v>
      </c>
      <c r="AA38" s="18">
        <v>35</v>
      </c>
      <c r="AB38" s="18">
        <v>0.57999998331069946</v>
      </c>
      <c r="AC38" s="3">
        <f t="shared" si="12"/>
        <v>0</v>
      </c>
      <c r="AD38" s="1">
        <f t="shared" si="13"/>
        <v>1</v>
      </c>
      <c r="AE38" s="18">
        <v>35</v>
      </c>
      <c r="AF38" s="18">
        <v>0.66100001335144043</v>
      </c>
      <c r="AG38" s="3">
        <f t="shared" si="14"/>
        <v>0</v>
      </c>
      <c r="AH38" s="1">
        <f t="shared" si="15"/>
        <v>1</v>
      </c>
      <c r="AI38" s="18">
        <v>35</v>
      </c>
      <c r="AJ38" s="18">
        <v>0.73900002241134644</v>
      </c>
      <c r="AK38" s="3">
        <f t="shared" si="16"/>
        <v>0</v>
      </c>
      <c r="AL38" s="1">
        <f t="shared" si="17"/>
        <v>1</v>
      </c>
      <c r="AM38" s="18">
        <v>35</v>
      </c>
      <c r="AN38" s="18">
        <v>0.82999998331069946</v>
      </c>
      <c r="AO38" s="3">
        <f t="shared" si="18"/>
        <v>0</v>
      </c>
      <c r="AP38" s="1">
        <f t="shared" si="19"/>
        <v>1</v>
      </c>
      <c r="AR38" s="2">
        <f t="shared" si="20"/>
        <v>35</v>
      </c>
    </row>
    <row r="39" spans="2:44" ht="16" x14ac:dyDescent="0.2">
      <c r="B39" s="18" t="s">
        <v>29</v>
      </c>
      <c r="C39" s="18">
        <v>65</v>
      </c>
      <c r="D39" s="18">
        <v>4.0000001899898052E-3</v>
      </c>
      <c r="E39" s="3">
        <f t="shared" si="1"/>
        <v>3.1746031746031744E-2</v>
      </c>
      <c r="F39" s="1">
        <f t="shared" si="2"/>
        <v>0</v>
      </c>
      <c r="G39" s="18">
        <v>64</v>
      </c>
      <c r="H39" s="18">
        <v>1.2000000104308128E-2</v>
      </c>
      <c r="I39" s="3">
        <f t="shared" si="3"/>
        <v>1.5873015873015872E-2</v>
      </c>
      <c r="J39" s="1">
        <f t="shared" si="4"/>
        <v>0</v>
      </c>
      <c r="K39" s="18">
        <v>64</v>
      </c>
      <c r="L39" s="18">
        <v>1.4000000432133675E-2</v>
      </c>
      <c r="M39" s="3">
        <f t="shared" si="21"/>
        <v>1.5873015873015872E-2</v>
      </c>
      <c r="N39" s="1">
        <f t="shared" si="5"/>
        <v>0</v>
      </c>
      <c r="O39" s="18">
        <v>64</v>
      </c>
      <c r="P39" s="18">
        <v>1.7000000923871994E-2</v>
      </c>
      <c r="Q39" s="3">
        <f t="shared" si="6"/>
        <v>1.5873015873015872E-2</v>
      </c>
      <c r="R39" s="1">
        <f t="shared" si="7"/>
        <v>0</v>
      </c>
      <c r="S39" s="18">
        <v>64</v>
      </c>
      <c r="T39" s="18">
        <v>1.9999999552965164E-2</v>
      </c>
      <c r="U39" s="3">
        <f t="shared" si="8"/>
        <v>1.5873015873015872E-2</v>
      </c>
      <c r="V39" s="1">
        <f t="shared" si="9"/>
        <v>0</v>
      </c>
      <c r="W39" s="18">
        <v>63</v>
      </c>
      <c r="X39" s="18">
        <v>3.5000000149011612E-2</v>
      </c>
      <c r="Y39" s="3">
        <f t="shared" si="10"/>
        <v>0</v>
      </c>
      <c r="Z39" s="1">
        <f t="shared" si="11"/>
        <v>1</v>
      </c>
      <c r="AA39" s="18">
        <v>63</v>
      </c>
      <c r="AB39" s="18">
        <v>3.7999998778104782E-2</v>
      </c>
      <c r="AC39" s="3">
        <f t="shared" si="12"/>
        <v>0</v>
      </c>
      <c r="AD39" s="1">
        <f t="shared" si="13"/>
        <v>1</v>
      </c>
      <c r="AE39" s="18">
        <v>63</v>
      </c>
      <c r="AF39" s="18">
        <v>3.9999999105930328E-2</v>
      </c>
      <c r="AG39" s="3">
        <f t="shared" si="14"/>
        <v>0</v>
      </c>
      <c r="AH39" s="1">
        <f t="shared" si="15"/>
        <v>1</v>
      </c>
      <c r="AI39" s="18">
        <v>63</v>
      </c>
      <c r="AJ39" s="18">
        <v>4.3000001460313797E-2</v>
      </c>
      <c r="AK39" s="3">
        <f t="shared" si="16"/>
        <v>0</v>
      </c>
      <c r="AL39" s="1">
        <f t="shared" si="17"/>
        <v>1</v>
      </c>
      <c r="AM39" s="18">
        <v>63</v>
      </c>
      <c r="AN39" s="18">
        <v>4.5000001788139343E-2</v>
      </c>
      <c r="AO39" s="3">
        <f t="shared" si="18"/>
        <v>0</v>
      </c>
      <c r="AP39" s="1">
        <f t="shared" si="19"/>
        <v>1</v>
      </c>
      <c r="AR39" s="2">
        <f t="shared" si="20"/>
        <v>63</v>
      </c>
    </row>
    <row r="40" spans="2:44" ht="16" x14ac:dyDescent="0.2">
      <c r="B40" s="18" t="s">
        <v>30</v>
      </c>
      <c r="C40" s="18">
        <v>11</v>
      </c>
      <c r="D40" s="18">
        <v>4.0000001899898052E-3</v>
      </c>
      <c r="E40" s="3">
        <f t="shared" si="1"/>
        <v>0</v>
      </c>
      <c r="F40" s="1">
        <f t="shared" si="2"/>
        <v>1</v>
      </c>
      <c r="G40" s="18">
        <v>11</v>
      </c>
      <c r="H40" s="18">
        <v>4.999999888241291E-3</v>
      </c>
      <c r="I40" s="3">
        <f t="shared" si="3"/>
        <v>0</v>
      </c>
      <c r="J40" s="1">
        <f t="shared" si="4"/>
        <v>1</v>
      </c>
      <c r="K40" s="18">
        <v>11</v>
      </c>
      <c r="L40" s="18">
        <v>8.0000003799796104E-3</v>
      </c>
      <c r="M40" s="3">
        <f t="shared" si="21"/>
        <v>0</v>
      </c>
      <c r="N40" s="1">
        <f t="shared" si="5"/>
        <v>1</v>
      </c>
      <c r="O40" s="18">
        <v>11</v>
      </c>
      <c r="P40" s="18">
        <v>8.999999612569809E-3</v>
      </c>
      <c r="Q40" s="3">
        <f t="shared" si="6"/>
        <v>0</v>
      </c>
      <c r="R40" s="1">
        <f t="shared" si="7"/>
        <v>1</v>
      </c>
      <c r="S40" s="18">
        <v>11</v>
      </c>
      <c r="T40" s="18">
        <v>1.0999999940395355E-2</v>
      </c>
      <c r="U40" s="3">
        <f t="shared" si="8"/>
        <v>0</v>
      </c>
      <c r="V40" s="1">
        <f t="shared" si="9"/>
        <v>1</v>
      </c>
      <c r="W40" s="18">
        <v>11</v>
      </c>
      <c r="X40" s="18">
        <v>1.2000000104308128E-2</v>
      </c>
      <c r="Y40" s="3">
        <f t="shared" si="10"/>
        <v>0</v>
      </c>
      <c r="Z40" s="1">
        <f t="shared" si="11"/>
        <v>1</v>
      </c>
      <c r="AA40" s="18">
        <v>11</v>
      </c>
      <c r="AB40" s="18">
        <v>1.4999999664723873E-2</v>
      </c>
      <c r="AC40" s="3">
        <f t="shared" si="12"/>
        <v>0</v>
      </c>
      <c r="AD40" s="1">
        <f t="shared" si="13"/>
        <v>1</v>
      </c>
      <c r="AE40" s="18">
        <v>11</v>
      </c>
      <c r="AF40" s="18">
        <v>1.7000000923871994E-2</v>
      </c>
      <c r="AG40" s="3">
        <f t="shared" si="14"/>
        <v>0</v>
      </c>
      <c r="AH40" s="1">
        <f t="shared" si="15"/>
        <v>1</v>
      </c>
      <c r="AI40" s="18">
        <v>11</v>
      </c>
      <c r="AJ40" s="18">
        <v>1.8999999389052391E-2</v>
      </c>
      <c r="AK40" s="3">
        <f t="shared" si="16"/>
        <v>0</v>
      </c>
      <c r="AL40" s="1">
        <f t="shared" si="17"/>
        <v>1</v>
      </c>
      <c r="AM40" s="18">
        <v>11</v>
      </c>
      <c r="AN40" s="18">
        <v>2.0999999716877937E-2</v>
      </c>
      <c r="AO40" s="3">
        <f t="shared" si="18"/>
        <v>0</v>
      </c>
      <c r="AP40" s="1">
        <f t="shared" si="19"/>
        <v>1</v>
      </c>
      <c r="AR40" s="2">
        <f t="shared" si="20"/>
        <v>11</v>
      </c>
    </row>
    <row r="41" spans="2:44" ht="16" x14ac:dyDescent="0.2">
      <c r="B41" s="18" t="s">
        <v>32</v>
      </c>
      <c r="C41" s="18">
        <v>98</v>
      </c>
      <c r="D41" s="18">
        <v>3.5000000149011612E-2</v>
      </c>
      <c r="E41" s="3">
        <f t="shared" si="1"/>
        <v>3.1578947368421054E-2</v>
      </c>
      <c r="F41" s="1">
        <f t="shared" si="2"/>
        <v>0</v>
      </c>
      <c r="G41" s="18">
        <v>98</v>
      </c>
      <c r="H41" s="18">
        <v>5.4000001400709152E-2</v>
      </c>
      <c r="I41" s="3">
        <f t="shared" si="3"/>
        <v>3.1578947368421054E-2</v>
      </c>
      <c r="J41" s="1">
        <f t="shared" si="4"/>
        <v>0</v>
      </c>
      <c r="K41" s="18">
        <v>95</v>
      </c>
      <c r="L41" s="18">
        <v>0.10100000351667404</v>
      </c>
      <c r="M41" s="3">
        <f t="shared" si="21"/>
        <v>0</v>
      </c>
      <c r="N41" s="1">
        <f t="shared" si="5"/>
        <v>1</v>
      </c>
      <c r="O41" s="18">
        <v>95</v>
      </c>
      <c r="P41" s="18">
        <v>0.11599999666213989</v>
      </c>
      <c r="Q41" s="3">
        <f t="shared" si="6"/>
        <v>0</v>
      </c>
      <c r="R41" s="1">
        <f t="shared" si="7"/>
        <v>1</v>
      </c>
      <c r="S41" s="18">
        <v>95</v>
      </c>
      <c r="T41" s="18">
        <v>0.13300000131130219</v>
      </c>
      <c r="U41" s="3">
        <f t="shared" si="8"/>
        <v>0</v>
      </c>
      <c r="V41" s="1">
        <f t="shared" si="9"/>
        <v>1</v>
      </c>
      <c r="W41" s="18">
        <v>95</v>
      </c>
      <c r="X41" s="18">
        <v>0.14499999582767487</v>
      </c>
      <c r="Y41" s="3">
        <f t="shared" si="10"/>
        <v>0</v>
      </c>
      <c r="Z41" s="1">
        <f t="shared" si="11"/>
        <v>1</v>
      </c>
      <c r="AA41" s="18">
        <v>95</v>
      </c>
      <c r="AB41" s="18">
        <v>0.15999999642372131</v>
      </c>
      <c r="AC41" s="3">
        <f t="shared" si="12"/>
        <v>0</v>
      </c>
      <c r="AD41" s="1">
        <f t="shared" si="13"/>
        <v>1</v>
      </c>
      <c r="AE41" s="18">
        <v>95</v>
      </c>
      <c r="AF41" s="18">
        <v>0.17800000309944153</v>
      </c>
      <c r="AG41" s="3">
        <f t="shared" si="14"/>
        <v>0</v>
      </c>
      <c r="AH41" s="1">
        <f t="shared" si="15"/>
        <v>1</v>
      </c>
      <c r="AI41" s="18">
        <v>95</v>
      </c>
      <c r="AJ41" s="18">
        <v>0.18999999761581421</v>
      </c>
      <c r="AK41" s="3">
        <f t="shared" si="16"/>
        <v>0</v>
      </c>
      <c r="AL41" s="1">
        <f t="shared" si="17"/>
        <v>1</v>
      </c>
      <c r="AM41" s="18">
        <v>95</v>
      </c>
      <c r="AN41" s="18">
        <v>0.20499999821186066</v>
      </c>
      <c r="AO41" s="3">
        <f t="shared" si="18"/>
        <v>0</v>
      </c>
      <c r="AP41" s="1">
        <f t="shared" si="19"/>
        <v>1</v>
      </c>
      <c r="AR41" s="2">
        <f t="shared" si="20"/>
        <v>95</v>
      </c>
    </row>
  </sheetData>
  <mergeCells count="10">
    <mergeCell ref="AA14:AD14"/>
    <mergeCell ref="AE14:AH14"/>
    <mergeCell ref="AI14:AL14"/>
    <mergeCell ref="AM14:AP14"/>
    <mergeCell ref="C14:F14"/>
    <mergeCell ref="G14:J14"/>
    <mergeCell ref="K14:N14"/>
    <mergeCell ref="O14:R14"/>
    <mergeCell ref="S14:V14"/>
    <mergeCell ref="W14:Z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80BFA-C23C-C14A-84A5-B4D2D126E367}">
  <dimension ref="B2:O33"/>
  <sheetViews>
    <sheetView zoomScaleNormal="212" workbookViewId="0">
      <selection activeCell="H5" sqref="H5"/>
    </sheetView>
  </sheetViews>
  <sheetFormatPr baseColWidth="10" defaultRowHeight="15" x14ac:dyDescent="0.2"/>
  <cols>
    <col min="2" max="2" width="31.83203125" bestFit="1" customWidth="1"/>
    <col min="3" max="3" width="8.83203125" bestFit="1" customWidth="1"/>
    <col min="4" max="4" width="11.83203125" bestFit="1" customWidth="1"/>
    <col min="5" max="5" width="10.83203125" bestFit="1" customWidth="1"/>
    <col min="6" max="6" width="5.6640625" bestFit="1" customWidth="1"/>
    <col min="7" max="7" width="10.1640625" customWidth="1"/>
    <col min="8" max="8" width="8.83203125" customWidth="1"/>
    <col min="9" max="9" width="9.6640625" bestFit="1" customWidth="1"/>
    <col min="10" max="10" width="4.6640625" bestFit="1" customWidth="1"/>
    <col min="11" max="11" width="7.1640625" customWidth="1"/>
  </cols>
  <sheetData>
    <row r="2" spans="2:15" ht="16" x14ac:dyDescent="0.2">
      <c r="B2" s="11" t="s">
        <v>314</v>
      </c>
      <c r="C2" s="11" t="s">
        <v>312</v>
      </c>
      <c r="D2" s="11" t="s">
        <v>0</v>
      </c>
      <c r="E2" s="11" t="s">
        <v>313</v>
      </c>
      <c r="F2" s="11" t="s">
        <v>4</v>
      </c>
    </row>
    <row r="3" spans="2:15" ht="16" x14ac:dyDescent="0.2">
      <c r="B3" s="10" t="str">
        <f>C6</f>
        <v>Last accepted solution</v>
      </c>
      <c r="C3" s="4">
        <f>AVERAGE(C8:C33)</f>
        <v>156.46153846153845</v>
      </c>
      <c r="D3" s="13">
        <f>AVERAGE(D8:D33)</f>
        <v>5.9683076923076941</v>
      </c>
      <c r="E3" s="6">
        <f>AVERAGE(E8:E33)</f>
        <v>7.0077836766127737E-3</v>
      </c>
      <c r="F3" s="7">
        <f>SUM(F8:F33)</f>
        <v>18</v>
      </c>
    </row>
    <row r="4" spans="2:15" ht="16" x14ac:dyDescent="0.2">
      <c r="B4" s="11" t="str">
        <f>G6</f>
        <v>Best solution</v>
      </c>
      <c r="C4" s="5">
        <f>AVERAGE(G8:G33)</f>
        <v>154.30769230769232</v>
      </c>
      <c r="D4" s="12">
        <f t="shared" ref="D4:E4" si="0">AVERAGE(H8:H33)</f>
        <v>5.6006922671356456</v>
      </c>
      <c r="E4" s="8">
        <f t="shared" si="0"/>
        <v>3.3787635241562734E-3</v>
      </c>
      <c r="F4" s="14">
        <f>SUM(J8:J33)</f>
        <v>22</v>
      </c>
    </row>
    <row r="6" spans="2:15" ht="16" x14ac:dyDescent="0.2">
      <c r="C6" s="41" t="s">
        <v>315</v>
      </c>
      <c r="D6" s="41"/>
      <c r="E6" s="41"/>
      <c r="F6" s="41"/>
      <c r="G6" s="47" t="s">
        <v>316</v>
      </c>
      <c r="H6" s="47"/>
      <c r="I6" s="47"/>
      <c r="J6" s="47"/>
      <c r="K6" s="30"/>
      <c r="L6" s="40"/>
      <c r="M6" s="40"/>
    </row>
    <row r="7" spans="2:15" ht="16" x14ac:dyDescent="0.2">
      <c r="B7" s="1" t="s">
        <v>5</v>
      </c>
      <c r="C7" s="1" t="s">
        <v>1</v>
      </c>
      <c r="D7" s="1" t="s">
        <v>0</v>
      </c>
      <c r="E7" s="1" t="s">
        <v>2</v>
      </c>
      <c r="F7" s="1" t="s">
        <v>3</v>
      </c>
      <c r="G7" s="1" t="s">
        <v>1</v>
      </c>
      <c r="H7" s="1" t="s">
        <v>0</v>
      </c>
      <c r="I7" s="1" t="s">
        <v>2</v>
      </c>
      <c r="J7" s="1" t="s">
        <v>3</v>
      </c>
      <c r="K7" s="2"/>
      <c r="L7" s="2"/>
      <c r="M7" s="2"/>
      <c r="O7" s="2" t="s">
        <v>4</v>
      </c>
    </row>
    <row r="8" spans="2:15" ht="16" x14ac:dyDescent="0.2">
      <c r="B8" s="18" t="s">
        <v>6</v>
      </c>
      <c r="C8" s="39">
        <v>535</v>
      </c>
      <c r="D8" s="39">
        <v>2.5150000000000001</v>
      </c>
      <c r="E8" s="3">
        <f t="shared" ref="E8:E33" si="1">(C8-$O8)/$O8</f>
        <v>5.6390977443609019E-3</v>
      </c>
      <c r="F8" s="1">
        <f t="shared" ref="F8:F33" si="2">IF(C8=$O8,1,0)</f>
        <v>0</v>
      </c>
      <c r="G8" s="18">
        <v>532</v>
      </c>
      <c r="H8" s="18">
        <v>1.7039999961853027</v>
      </c>
      <c r="I8" s="3">
        <f t="shared" ref="I8:I33" si="3">(G8-$O8)/$O8</f>
        <v>0</v>
      </c>
      <c r="J8" s="1">
        <f t="shared" ref="J8:J33" si="4">IF(G8=$O8,1,0)</f>
        <v>1</v>
      </c>
      <c r="L8" s="9"/>
      <c r="M8" s="2"/>
      <c r="O8" s="2">
        <f>MIN(C8,G8)</f>
        <v>532</v>
      </c>
    </row>
    <row r="9" spans="2:15" ht="16" x14ac:dyDescent="0.2">
      <c r="B9" s="18" t="s">
        <v>7</v>
      </c>
      <c r="C9" s="39">
        <v>160</v>
      </c>
      <c r="D9" s="39">
        <v>0.374</v>
      </c>
      <c r="E9" s="3">
        <f t="shared" si="1"/>
        <v>0</v>
      </c>
      <c r="F9" s="1">
        <f t="shared" si="2"/>
        <v>1</v>
      </c>
      <c r="G9" s="18">
        <v>161</v>
      </c>
      <c r="H9" s="18">
        <v>0.16500000655651093</v>
      </c>
      <c r="I9" s="3">
        <f t="shared" si="3"/>
        <v>6.2500000000000003E-3</v>
      </c>
      <c r="J9" s="1">
        <f t="shared" si="4"/>
        <v>0</v>
      </c>
      <c r="L9" s="9"/>
      <c r="M9" s="2"/>
      <c r="O9" s="2">
        <f t="shared" ref="O9:O33" si="5">MIN(C9,G9)</f>
        <v>160</v>
      </c>
    </row>
    <row r="10" spans="2:15" ht="16" x14ac:dyDescent="0.2">
      <c r="B10" s="18" t="s">
        <v>8</v>
      </c>
      <c r="C10" s="39">
        <v>181</v>
      </c>
      <c r="D10" s="39">
        <v>0.67800000000000005</v>
      </c>
      <c r="E10" s="3">
        <f t="shared" si="1"/>
        <v>5.5555555555555558E-3</v>
      </c>
      <c r="F10" s="1">
        <f t="shared" si="2"/>
        <v>0</v>
      </c>
      <c r="G10" s="18">
        <v>180</v>
      </c>
      <c r="H10" s="18">
        <v>0.35600000619888306</v>
      </c>
      <c r="I10" s="3">
        <f t="shared" si="3"/>
        <v>0</v>
      </c>
      <c r="J10" s="1">
        <f t="shared" si="4"/>
        <v>1</v>
      </c>
      <c r="L10" s="9"/>
      <c r="M10" s="2"/>
      <c r="O10" s="2">
        <f t="shared" si="5"/>
        <v>180</v>
      </c>
    </row>
    <row r="11" spans="2:15" ht="16" x14ac:dyDescent="0.2">
      <c r="B11" s="18" t="s">
        <v>9</v>
      </c>
      <c r="C11" s="39">
        <v>18</v>
      </c>
      <c r="D11" s="39">
        <v>1.9E-2</v>
      </c>
      <c r="E11" s="3">
        <f t="shared" si="1"/>
        <v>0</v>
      </c>
      <c r="F11" s="1">
        <f t="shared" si="2"/>
        <v>1</v>
      </c>
      <c r="G11" s="18">
        <v>18</v>
      </c>
      <c r="H11" s="18">
        <v>1.4999999664723873E-2</v>
      </c>
      <c r="I11" s="3">
        <f t="shared" si="3"/>
        <v>0</v>
      </c>
      <c r="J11" s="1">
        <f t="shared" si="4"/>
        <v>1</v>
      </c>
      <c r="L11" s="9"/>
      <c r="M11" s="2"/>
      <c r="O11" s="2">
        <f t="shared" si="5"/>
        <v>18</v>
      </c>
    </row>
    <row r="12" spans="2:15" ht="16" x14ac:dyDescent="0.2">
      <c r="B12" s="18" t="s">
        <v>10</v>
      </c>
      <c r="C12" s="39">
        <v>331</v>
      </c>
      <c r="D12" s="39">
        <v>29.151</v>
      </c>
      <c r="E12" s="3">
        <f t="shared" si="1"/>
        <v>0</v>
      </c>
      <c r="F12" s="1">
        <f t="shared" si="2"/>
        <v>1</v>
      </c>
      <c r="G12" s="18">
        <v>333</v>
      </c>
      <c r="H12" s="18">
        <v>11.928999900817871</v>
      </c>
      <c r="I12" s="3">
        <f t="shared" si="3"/>
        <v>6.0422960725075529E-3</v>
      </c>
      <c r="J12" s="1">
        <f t="shared" si="4"/>
        <v>0</v>
      </c>
      <c r="L12" s="9"/>
      <c r="M12" s="2"/>
      <c r="O12" s="2">
        <f t="shared" si="5"/>
        <v>331</v>
      </c>
    </row>
    <row r="13" spans="2:15" ht="16" x14ac:dyDescent="0.2">
      <c r="B13" s="18" t="s">
        <v>11</v>
      </c>
      <c r="C13" s="39">
        <v>57</v>
      </c>
      <c r="D13" s="39">
        <v>8.5999999999999993E-2</v>
      </c>
      <c r="E13" s="3">
        <f t="shared" si="1"/>
        <v>0</v>
      </c>
      <c r="F13" s="1">
        <f t="shared" si="2"/>
        <v>1</v>
      </c>
      <c r="G13" s="18">
        <v>57</v>
      </c>
      <c r="H13" s="18">
        <v>6.4000003039836884E-2</v>
      </c>
      <c r="I13" s="3">
        <f t="shared" si="3"/>
        <v>0</v>
      </c>
      <c r="J13" s="1">
        <f t="shared" si="4"/>
        <v>1</v>
      </c>
      <c r="L13" s="9"/>
      <c r="M13" s="2"/>
      <c r="O13" s="2">
        <f t="shared" si="5"/>
        <v>57</v>
      </c>
    </row>
    <row r="14" spans="2:15" ht="16" x14ac:dyDescent="0.2">
      <c r="B14" s="18" t="s">
        <v>12</v>
      </c>
      <c r="C14" s="39">
        <v>26</v>
      </c>
      <c r="D14" s="39">
        <v>6.2990000000000004</v>
      </c>
      <c r="E14" s="3">
        <f t="shared" si="1"/>
        <v>0</v>
      </c>
      <c r="F14" s="1">
        <f t="shared" si="2"/>
        <v>1</v>
      </c>
      <c r="G14" s="18">
        <v>26</v>
      </c>
      <c r="H14" s="18">
        <v>4.6979999542236328</v>
      </c>
      <c r="I14" s="3">
        <f t="shared" si="3"/>
        <v>0</v>
      </c>
      <c r="J14" s="1">
        <f t="shared" si="4"/>
        <v>1</v>
      </c>
      <c r="L14" s="9"/>
      <c r="M14" s="2"/>
      <c r="O14" s="2">
        <f t="shared" si="5"/>
        <v>26</v>
      </c>
    </row>
    <row r="15" spans="2:15" ht="16" x14ac:dyDescent="0.2">
      <c r="B15" s="18" t="s">
        <v>13</v>
      </c>
      <c r="C15" s="39">
        <v>299</v>
      </c>
      <c r="D15" s="39">
        <v>27.425000000000001</v>
      </c>
      <c r="E15" s="3">
        <f t="shared" si="1"/>
        <v>2.3972602739726026E-2</v>
      </c>
      <c r="F15" s="1">
        <f t="shared" si="2"/>
        <v>0</v>
      </c>
      <c r="G15" s="18">
        <v>292</v>
      </c>
      <c r="H15" s="18">
        <v>36.972999572753906</v>
      </c>
      <c r="I15" s="3">
        <f t="shared" si="3"/>
        <v>0</v>
      </c>
      <c r="J15" s="1">
        <f t="shared" si="4"/>
        <v>1</v>
      </c>
      <c r="L15" s="9"/>
      <c r="M15" s="2"/>
      <c r="O15" s="2">
        <f t="shared" si="5"/>
        <v>292</v>
      </c>
    </row>
    <row r="16" spans="2:15" ht="16" x14ac:dyDescent="0.2">
      <c r="B16" s="18" t="s">
        <v>14</v>
      </c>
      <c r="C16" s="39">
        <v>152</v>
      </c>
      <c r="D16" s="39">
        <v>0.59199999999999997</v>
      </c>
      <c r="E16" s="3">
        <f t="shared" si="1"/>
        <v>2.0134228187919462E-2</v>
      </c>
      <c r="F16" s="1">
        <f t="shared" si="2"/>
        <v>0</v>
      </c>
      <c r="G16" s="18">
        <v>149</v>
      </c>
      <c r="H16" s="18">
        <v>0.43900001049041748</v>
      </c>
      <c r="I16" s="3">
        <f t="shared" si="3"/>
        <v>0</v>
      </c>
      <c r="J16" s="1">
        <f t="shared" si="4"/>
        <v>1</v>
      </c>
      <c r="L16" s="9"/>
      <c r="M16" s="2"/>
      <c r="O16" s="2">
        <f t="shared" si="5"/>
        <v>149</v>
      </c>
    </row>
    <row r="17" spans="2:15" ht="16" x14ac:dyDescent="0.2">
      <c r="B17" s="18" t="s">
        <v>15</v>
      </c>
      <c r="C17" s="39">
        <v>43</v>
      </c>
      <c r="D17" s="39">
        <v>7.0000000000000001E-3</v>
      </c>
      <c r="E17" s="3">
        <f t="shared" si="1"/>
        <v>0</v>
      </c>
      <c r="F17" s="1">
        <f t="shared" si="2"/>
        <v>1</v>
      </c>
      <c r="G17" s="18">
        <v>43</v>
      </c>
      <c r="H17" s="18">
        <v>4.999999888241291E-3</v>
      </c>
      <c r="I17" s="3">
        <f t="shared" si="3"/>
        <v>0</v>
      </c>
      <c r="J17" s="1">
        <f t="shared" si="4"/>
        <v>1</v>
      </c>
      <c r="L17" s="9"/>
      <c r="M17" s="2"/>
      <c r="O17" s="2">
        <f t="shared" si="5"/>
        <v>43</v>
      </c>
    </row>
    <row r="18" spans="2:15" ht="16" x14ac:dyDescent="0.2">
      <c r="B18" s="18" t="s">
        <v>16</v>
      </c>
      <c r="C18" s="39">
        <v>18</v>
      </c>
      <c r="D18" s="39">
        <v>12.489000000000001</v>
      </c>
      <c r="E18" s="3">
        <f t="shared" si="1"/>
        <v>0</v>
      </c>
      <c r="F18" s="1">
        <f t="shared" si="2"/>
        <v>1</v>
      </c>
      <c r="G18" s="18">
        <v>18</v>
      </c>
      <c r="H18" s="18">
        <v>9.2220001220703125</v>
      </c>
      <c r="I18" s="3">
        <f t="shared" si="3"/>
        <v>0</v>
      </c>
      <c r="J18" s="1">
        <f t="shared" si="4"/>
        <v>1</v>
      </c>
      <c r="L18" s="9"/>
      <c r="M18" s="2"/>
      <c r="O18" s="2">
        <f t="shared" si="5"/>
        <v>18</v>
      </c>
    </row>
    <row r="19" spans="2:15" ht="16" x14ac:dyDescent="0.2">
      <c r="B19" s="18" t="s">
        <v>17</v>
      </c>
      <c r="C19" s="39">
        <v>3</v>
      </c>
      <c r="D19" s="39">
        <v>16.812999999999999</v>
      </c>
      <c r="E19" s="3">
        <f t="shared" si="1"/>
        <v>0</v>
      </c>
      <c r="F19" s="1">
        <f t="shared" si="2"/>
        <v>1</v>
      </c>
      <c r="G19" s="18">
        <v>3</v>
      </c>
      <c r="H19" s="18">
        <v>12.699000358581543</v>
      </c>
      <c r="I19" s="3">
        <f t="shared" si="3"/>
        <v>0</v>
      </c>
      <c r="J19" s="1">
        <f t="shared" si="4"/>
        <v>1</v>
      </c>
      <c r="L19" s="9"/>
      <c r="M19" s="2"/>
      <c r="O19" s="2">
        <f t="shared" si="5"/>
        <v>3</v>
      </c>
    </row>
    <row r="20" spans="2:15" ht="16" x14ac:dyDescent="0.2">
      <c r="B20" s="18" t="s">
        <v>18</v>
      </c>
      <c r="C20" s="39">
        <v>59</v>
      </c>
      <c r="D20" s="39">
        <v>0.222</v>
      </c>
      <c r="E20" s="3">
        <f t="shared" si="1"/>
        <v>0</v>
      </c>
      <c r="F20" s="1">
        <f t="shared" si="2"/>
        <v>1</v>
      </c>
      <c r="G20" s="18">
        <v>59</v>
      </c>
      <c r="H20" s="18">
        <v>0.17399999499320984</v>
      </c>
      <c r="I20" s="3">
        <f t="shared" si="3"/>
        <v>0</v>
      </c>
      <c r="J20" s="1">
        <f t="shared" si="4"/>
        <v>1</v>
      </c>
      <c r="L20" s="9"/>
      <c r="M20" s="2"/>
      <c r="O20" s="2">
        <f t="shared" si="5"/>
        <v>59</v>
      </c>
    </row>
    <row r="21" spans="2:15" ht="16" x14ac:dyDescent="0.2">
      <c r="B21" s="18" t="s">
        <v>19</v>
      </c>
      <c r="C21" s="39">
        <v>341</v>
      </c>
      <c r="D21" s="39">
        <v>2.1619999999999999</v>
      </c>
      <c r="E21" s="3">
        <f t="shared" si="1"/>
        <v>5.2469135802469133E-2</v>
      </c>
      <c r="F21" s="1">
        <f t="shared" si="2"/>
        <v>0</v>
      </c>
      <c r="G21" s="18">
        <v>324</v>
      </c>
      <c r="H21" s="18">
        <v>1.809999942779541</v>
      </c>
      <c r="I21" s="3">
        <f t="shared" si="3"/>
        <v>0</v>
      </c>
      <c r="J21" s="1">
        <f t="shared" si="4"/>
        <v>1</v>
      </c>
      <c r="L21" s="9"/>
      <c r="M21" s="2"/>
      <c r="O21" s="2">
        <f t="shared" si="5"/>
        <v>324</v>
      </c>
    </row>
    <row r="22" spans="2:15" ht="16" x14ac:dyDescent="0.2">
      <c r="B22" s="18" t="s">
        <v>20</v>
      </c>
      <c r="C22" s="39">
        <v>542</v>
      </c>
      <c r="D22" s="39">
        <v>17.094999999999999</v>
      </c>
      <c r="E22" s="3">
        <f t="shared" si="1"/>
        <v>3.0418250950570342E-2</v>
      </c>
      <c r="F22" s="1">
        <f t="shared" si="2"/>
        <v>0</v>
      </c>
      <c r="G22" s="18">
        <v>526</v>
      </c>
      <c r="H22" s="18">
        <v>21.643999099731445</v>
      </c>
      <c r="I22" s="3">
        <f t="shared" si="3"/>
        <v>0</v>
      </c>
      <c r="J22" s="1">
        <f t="shared" si="4"/>
        <v>1</v>
      </c>
      <c r="L22" s="9"/>
      <c r="M22" s="2"/>
      <c r="O22" s="2">
        <f t="shared" si="5"/>
        <v>526</v>
      </c>
    </row>
    <row r="23" spans="2:15" ht="16" x14ac:dyDescent="0.2">
      <c r="B23" s="18" t="s">
        <v>21</v>
      </c>
      <c r="C23" s="39">
        <v>100</v>
      </c>
      <c r="D23" s="39">
        <v>31.093</v>
      </c>
      <c r="E23" s="3">
        <f t="shared" si="1"/>
        <v>0</v>
      </c>
      <c r="F23" s="1">
        <f t="shared" si="2"/>
        <v>1</v>
      </c>
      <c r="G23" s="18">
        <v>102</v>
      </c>
      <c r="H23" s="18">
        <v>34.847000122070312</v>
      </c>
      <c r="I23" s="3">
        <f t="shared" si="3"/>
        <v>0.02</v>
      </c>
      <c r="J23" s="1">
        <f t="shared" si="4"/>
        <v>0</v>
      </c>
      <c r="L23" s="9"/>
      <c r="M23" s="2"/>
      <c r="O23" s="2">
        <f t="shared" si="5"/>
        <v>100</v>
      </c>
    </row>
    <row r="24" spans="2:15" ht="16" x14ac:dyDescent="0.2">
      <c r="B24" s="18" t="s">
        <v>22</v>
      </c>
      <c r="C24" s="39">
        <v>19</v>
      </c>
      <c r="D24" s="39">
        <v>8.0000000000000002E-3</v>
      </c>
      <c r="E24" s="3">
        <f t="shared" si="1"/>
        <v>0</v>
      </c>
      <c r="F24" s="1">
        <f t="shared" si="2"/>
        <v>1</v>
      </c>
      <c r="G24" s="18">
        <v>19</v>
      </c>
      <c r="H24" s="18">
        <v>6.0000000521540642E-3</v>
      </c>
      <c r="I24" s="3">
        <f t="shared" si="3"/>
        <v>0</v>
      </c>
      <c r="J24" s="1">
        <f t="shared" si="4"/>
        <v>1</v>
      </c>
      <c r="L24" s="9"/>
      <c r="M24" s="2"/>
      <c r="O24" s="2">
        <f t="shared" si="5"/>
        <v>19</v>
      </c>
    </row>
    <row r="25" spans="2:15" ht="16" x14ac:dyDescent="0.2">
      <c r="B25" s="18" t="s">
        <v>23</v>
      </c>
      <c r="C25" s="39">
        <v>39</v>
      </c>
      <c r="D25" s="39">
        <v>3.1909999999999998</v>
      </c>
      <c r="E25" s="3">
        <f t="shared" si="1"/>
        <v>0</v>
      </c>
      <c r="F25" s="1">
        <f t="shared" si="2"/>
        <v>1</v>
      </c>
      <c r="G25" s="18">
        <v>39</v>
      </c>
      <c r="H25" s="18">
        <v>2.6689999103546143</v>
      </c>
      <c r="I25" s="3">
        <f t="shared" si="3"/>
        <v>0</v>
      </c>
      <c r="J25" s="1">
        <f t="shared" si="4"/>
        <v>1</v>
      </c>
      <c r="L25" s="9"/>
      <c r="M25" s="2"/>
      <c r="O25" s="2">
        <f t="shared" si="5"/>
        <v>39</v>
      </c>
    </row>
    <row r="26" spans="2:15" ht="16" x14ac:dyDescent="0.2">
      <c r="B26" s="18" t="s">
        <v>24</v>
      </c>
      <c r="C26" s="39">
        <v>194</v>
      </c>
      <c r="D26" s="39">
        <v>1.026</v>
      </c>
      <c r="E26" s="3">
        <f t="shared" si="1"/>
        <v>1.0416666666666666E-2</v>
      </c>
      <c r="F26" s="1">
        <f t="shared" si="2"/>
        <v>0</v>
      </c>
      <c r="G26" s="18">
        <v>192</v>
      </c>
      <c r="H26" s="18">
        <v>1.0410000085830688</v>
      </c>
      <c r="I26" s="3">
        <f t="shared" si="3"/>
        <v>0</v>
      </c>
      <c r="J26" s="1">
        <f t="shared" si="4"/>
        <v>1</v>
      </c>
      <c r="L26" s="9"/>
      <c r="M26" s="2"/>
      <c r="O26" s="2">
        <f t="shared" si="5"/>
        <v>192</v>
      </c>
    </row>
    <row r="27" spans="2:15" ht="16" x14ac:dyDescent="0.2">
      <c r="B27" s="18" t="s">
        <v>25</v>
      </c>
      <c r="C27" s="39">
        <v>523</v>
      </c>
      <c r="D27" s="39">
        <v>2.206</v>
      </c>
      <c r="E27" s="3">
        <f t="shared" si="1"/>
        <v>3.3596837944664032E-2</v>
      </c>
      <c r="F27" s="1">
        <f t="shared" si="2"/>
        <v>0</v>
      </c>
      <c r="G27" s="18">
        <v>506</v>
      </c>
      <c r="H27" s="18">
        <v>3.9879999160766602</v>
      </c>
      <c r="I27" s="3">
        <f t="shared" si="3"/>
        <v>0</v>
      </c>
      <c r="J27" s="1">
        <f t="shared" si="4"/>
        <v>1</v>
      </c>
      <c r="L27" s="9"/>
      <c r="M27" s="2"/>
      <c r="O27" s="2">
        <f t="shared" si="5"/>
        <v>506</v>
      </c>
    </row>
    <row r="28" spans="2:15" ht="16" x14ac:dyDescent="0.2">
      <c r="B28" s="1" t="s">
        <v>26</v>
      </c>
      <c r="C28" s="39">
        <v>94</v>
      </c>
      <c r="D28" s="39">
        <v>0.122</v>
      </c>
      <c r="E28" s="3">
        <f t="shared" si="1"/>
        <v>0</v>
      </c>
      <c r="F28" s="1">
        <f t="shared" si="2"/>
        <v>1</v>
      </c>
      <c r="G28" s="18">
        <v>94</v>
      </c>
      <c r="H28" s="18">
        <v>8.7999999523162842E-2</v>
      </c>
      <c r="I28" s="3">
        <f t="shared" si="3"/>
        <v>0</v>
      </c>
      <c r="J28" s="1">
        <f t="shared" si="4"/>
        <v>1</v>
      </c>
      <c r="O28" s="2">
        <f t="shared" si="5"/>
        <v>94</v>
      </c>
    </row>
    <row r="29" spans="2:15" ht="16" x14ac:dyDescent="0.2">
      <c r="B29" s="18" t="s">
        <v>27</v>
      </c>
      <c r="C29" s="39">
        <v>135</v>
      </c>
      <c r="D29" s="39">
        <v>0.41</v>
      </c>
      <c r="E29" s="3">
        <f t="shared" si="1"/>
        <v>0</v>
      </c>
      <c r="F29" s="1">
        <f t="shared" si="2"/>
        <v>1</v>
      </c>
      <c r="G29" s="18">
        <v>135</v>
      </c>
      <c r="H29" s="18">
        <v>0.18600000441074371</v>
      </c>
      <c r="I29" s="3">
        <f t="shared" si="3"/>
        <v>0</v>
      </c>
      <c r="J29" s="1">
        <f t="shared" si="4"/>
        <v>1</v>
      </c>
      <c r="O29" s="2">
        <f t="shared" si="5"/>
        <v>135</v>
      </c>
    </row>
    <row r="30" spans="2:15" ht="16" x14ac:dyDescent="0.2">
      <c r="B30" s="18" t="s">
        <v>28</v>
      </c>
      <c r="C30" s="39">
        <v>35</v>
      </c>
      <c r="D30" s="39">
        <v>0.78600000000000003</v>
      </c>
      <c r="E30" s="3">
        <f t="shared" si="1"/>
        <v>0</v>
      </c>
      <c r="F30" s="1">
        <f t="shared" si="2"/>
        <v>1</v>
      </c>
      <c r="G30" s="18">
        <v>35</v>
      </c>
      <c r="H30" s="18">
        <v>0.66100001335144043</v>
      </c>
      <c r="I30" s="3">
        <f t="shared" si="3"/>
        <v>0</v>
      </c>
      <c r="J30" s="1">
        <f t="shared" si="4"/>
        <v>1</v>
      </c>
      <c r="O30" s="2">
        <f t="shared" si="5"/>
        <v>35</v>
      </c>
    </row>
    <row r="31" spans="2:15" ht="16" x14ac:dyDescent="0.2">
      <c r="B31" s="18" t="s">
        <v>29</v>
      </c>
      <c r="C31" s="39">
        <v>63</v>
      </c>
      <c r="D31" s="39">
        <v>0.05</v>
      </c>
      <c r="E31" s="3">
        <f t="shared" si="1"/>
        <v>0</v>
      </c>
      <c r="F31" s="1">
        <f t="shared" si="2"/>
        <v>1</v>
      </c>
      <c r="G31" s="18">
        <v>63</v>
      </c>
      <c r="H31" s="18">
        <v>3.9999999105930328E-2</v>
      </c>
      <c r="I31" s="3">
        <f t="shared" si="3"/>
        <v>0</v>
      </c>
      <c r="J31" s="1">
        <f t="shared" si="4"/>
        <v>1</v>
      </c>
      <c r="O31" s="2">
        <f t="shared" si="5"/>
        <v>63</v>
      </c>
    </row>
    <row r="32" spans="2:15" ht="16" x14ac:dyDescent="0.2">
      <c r="B32" s="18" t="s">
        <v>30</v>
      </c>
      <c r="C32" s="39">
        <v>11</v>
      </c>
      <c r="D32" s="39">
        <v>2.1999999999999999E-2</v>
      </c>
      <c r="E32" s="3">
        <f t="shared" si="1"/>
        <v>0</v>
      </c>
      <c r="F32" s="1">
        <f t="shared" si="2"/>
        <v>1</v>
      </c>
      <c r="G32" s="18">
        <v>11</v>
      </c>
      <c r="H32" s="18">
        <v>1.7000000923871994E-2</v>
      </c>
      <c r="I32" s="3">
        <f t="shared" si="3"/>
        <v>0</v>
      </c>
      <c r="J32" s="1">
        <f t="shared" si="4"/>
        <v>1</v>
      </c>
      <c r="O32" s="2">
        <f t="shared" si="5"/>
        <v>11</v>
      </c>
    </row>
    <row r="33" spans="2:15" ht="16" x14ac:dyDescent="0.2">
      <c r="B33" s="18" t="s">
        <v>32</v>
      </c>
      <c r="C33" s="39">
        <v>90</v>
      </c>
      <c r="D33" s="39">
        <v>0.33500000000000002</v>
      </c>
      <c r="E33" s="3">
        <f t="shared" si="1"/>
        <v>0</v>
      </c>
      <c r="F33" s="1">
        <f t="shared" si="2"/>
        <v>1</v>
      </c>
      <c r="G33" s="18">
        <v>95</v>
      </c>
      <c r="H33" s="18">
        <v>0.17800000309944153</v>
      </c>
      <c r="I33" s="3">
        <f t="shared" si="3"/>
        <v>5.5555555555555552E-2</v>
      </c>
      <c r="J33" s="1">
        <f t="shared" si="4"/>
        <v>0</v>
      </c>
      <c r="O33" s="2">
        <f t="shared" si="5"/>
        <v>90</v>
      </c>
    </row>
  </sheetData>
  <mergeCells count="3">
    <mergeCell ref="C6:F6"/>
    <mergeCell ref="G6:J6"/>
    <mergeCell ref="L6:M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0EC2C-CDDA-44C5-8BB2-7EAB270B2EB2}">
  <dimension ref="B2:S34"/>
  <sheetViews>
    <sheetView workbookViewId="0">
      <selection activeCell="K8" sqref="K8"/>
    </sheetView>
  </sheetViews>
  <sheetFormatPr baseColWidth="10" defaultRowHeight="15" x14ac:dyDescent="0.2"/>
  <cols>
    <col min="2" max="2" width="31.83203125" bestFit="1" customWidth="1"/>
    <col min="3" max="3" width="8.83203125" bestFit="1" customWidth="1"/>
    <col min="4" max="4" width="11.83203125" bestFit="1" customWidth="1"/>
    <col min="5" max="5" width="10.83203125" bestFit="1" customWidth="1"/>
    <col min="6" max="6" width="5.6640625" bestFit="1" customWidth="1"/>
    <col min="7" max="7" width="7.5" customWidth="1"/>
    <col min="8" max="8" width="8.6640625" customWidth="1"/>
    <col min="9" max="9" width="10.83203125" bestFit="1" customWidth="1"/>
    <col min="10" max="10" width="7.83203125" customWidth="1"/>
    <col min="11" max="11" width="10.1640625" customWidth="1"/>
    <col min="12" max="12" width="8.83203125" customWidth="1"/>
    <col min="13" max="13" width="9.6640625" bestFit="1" customWidth="1"/>
    <col min="14" max="14" width="4.6640625" bestFit="1" customWidth="1"/>
    <col min="15" max="15" width="7.1640625" customWidth="1"/>
  </cols>
  <sheetData>
    <row r="2" spans="2:19" ht="16" x14ac:dyDescent="0.2">
      <c r="B2" s="11" t="s">
        <v>33</v>
      </c>
      <c r="C2" s="11" t="s">
        <v>312</v>
      </c>
      <c r="D2" s="11" t="s">
        <v>0</v>
      </c>
      <c r="E2" s="11" t="s">
        <v>313</v>
      </c>
      <c r="F2" s="11" t="s">
        <v>4</v>
      </c>
    </row>
    <row r="3" spans="2:19" ht="16" x14ac:dyDescent="0.2">
      <c r="B3" s="10" t="str">
        <f>C7</f>
        <v>Constructive</v>
      </c>
      <c r="C3" s="4">
        <f>AVERAGE(C9:C34)</f>
        <v>194.46153846153845</v>
      </c>
      <c r="D3" s="12">
        <f>AVERAGE(D9:D34)</f>
        <v>6.5384618042466731E-4</v>
      </c>
      <c r="E3" s="6">
        <f>AVERAGE(E9:E34)</f>
        <v>0.19936831084391379</v>
      </c>
      <c r="F3" s="7">
        <f>SUM(F9:F34)</f>
        <v>4</v>
      </c>
    </row>
    <row r="4" spans="2:19" ht="16" x14ac:dyDescent="0.2">
      <c r="B4" s="10" t="str">
        <f>G7</f>
        <v>Local Search</v>
      </c>
      <c r="C4" s="4">
        <f>AVERAGE(G9:G34)</f>
        <v>170.46153846153845</v>
      </c>
      <c r="D4" s="13">
        <f>AVERAGE(H9:H34)</f>
        <v>3.3807691629940212E-2</v>
      </c>
      <c r="E4" s="6">
        <f>AVERAGE(I9:I34)</f>
        <v>9.5220149044838803E-2</v>
      </c>
      <c r="F4" s="7">
        <f>SUM(J9:J34)</f>
        <v>7</v>
      </c>
    </row>
    <row r="5" spans="2:19" ht="16" x14ac:dyDescent="0.2">
      <c r="B5" s="11" t="str">
        <f>K7</f>
        <v>ILS</v>
      </c>
      <c r="C5" s="5">
        <f>AVERAGE(K9:K34)</f>
        <v>154.30769230769232</v>
      </c>
      <c r="D5" s="13">
        <f t="shared" ref="D5:E5" si="0">AVERAGE(L9:L34)</f>
        <v>5.6006922671356456</v>
      </c>
      <c r="E5" s="8">
        <f t="shared" si="0"/>
        <v>0</v>
      </c>
      <c r="F5" s="14">
        <f>SUM(N9:N34)</f>
        <v>26</v>
      </c>
    </row>
    <row r="7" spans="2:19" ht="16" x14ac:dyDescent="0.2">
      <c r="C7" s="41" t="s">
        <v>234</v>
      </c>
      <c r="D7" s="41"/>
      <c r="E7" s="41"/>
      <c r="F7" s="41"/>
      <c r="G7" s="41" t="s">
        <v>318</v>
      </c>
      <c r="H7" s="41"/>
      <c r="I7" s="41"/>
      <c r="J7" s="41"/>
      <c r="K7" s="47" t="s">
        <v>319</v>
      </c>
      <c r="L7" s="47"/>
      <c r="M7" s="47"/>
      <c r="N7" s="47"/>
      <c r="O7" s="30"/>
      <c r="P7" s="40"/>
      <c r="Q7" s="40"/>
    </row>
    <row r="8" spans="2:19" ht="16" x14ac:dyDescent="0.2">
      <c r="B8" s="1" t="s">
        <v>5</v>
      </c>
      <c r="C8" s="1" t="s">
        <v>1</v>
      </c>
      <c r="D8" s="1" t="s">
        <v>0</v>
      </c>
      <c r="E8" s="1" t="s">
        <v>2</v>
      </c>
      <c r="F8" s="1" t="s">
        <v>3</v>
      </c>
      <c r="G8" s="1" t="s">
        <v>1</v>
      </c>
      <c r="H8" s="1" t="s">
        <v>0</v>
      </c>
      <c r="I8" s="1" t="s">
        <v>2</v>
      </c>
      <c r="J8" s="1" t="s">
        <v>3</v>
      </c>
      <c r="K8" s="1" t="s">
        <v>1</v>
      </c>
      <c r="L8" s="1" t="s">
        <v>0</v>
      </c>
      <c r="M8" s="1" t="s">
        <v>2</v>
      </c>
      <c r="N8" s="1" t="s">
        <v>3</v>
      </c>
      <c r="O8" s="2"/>
      <c r="P8" s="2"/>
      <c r="Q8" s="2"/>
      <c r="S8" s="2" t="s">
        <v>4</v>
      </c>
    </row>
    <row r="9" spans="2:19" ht="16" x14ac:dyDescent="0.2">
      <c r="B9" s="18" t="s">
        <v>6</v>
      </c>
      <c r="C9" s="18">
        <v>603</v>
      </c>
      <c r="D9" s="18">
        <v>3.0000000260770321E-3</v>
      </c>
      <c r="E9" s="3">
        <f t="shared" ref="E9:E34" si="1">(C9-$S9)/$S9</f>
        <v>0.13345864661654136</v>
      </c>
      <c r="F9" s="1">
        <f t="shared" ref="F9:F34" si="2">IF(C9=$S9,1,0)</f>
        <v>0</v>
      </c>
      <c r="G9" s="18">
        <v>545</v>
      </c>
      <c r="H9" s="18">
        <v>5.0999999046325684E-2</v>
      </c>
      <c r="I9" s="3">
        <f t="shared" ref="I9:I34" si="3">(G9-$S9)/$S9</f>
        <v>2.4436090225563908E-2</v>
      </c>
      <c r="J9" s="1">
        <f t="shared" ref="J9:J34" si="4">IF(G9=$S9,1,0)</f>
        <v>0</v>
      </c>
      <c r="K9" s="18">
        <v>532</v>
      </c>
      <c r="L9" s="18">
        <v>1.7039999961853027</v>
      </c>
      <c r="M9" s="3">
        <f t="shared" ref="M9:M34" si="5">(K9-$S9)/$S9</f>
        <v>0</v>
      </c>
      <c r="N9" s="1">
        <f t="shared" ref="N9:N34" si="6">IF(K9=$S9,1,0)</f>
        <v>1</v>
      </c>
      <c r="P9" s="9"/>
      <c r="Q9" s="2"/>
      <c r="S9" s="2">
        <f>MIN(C9,G9,K9)</f>
        <v>532</v>
      </c>
    </row>
    <row r="10" spans="2:19" ht="16" x14ac:dyDescent="0.2">
      <c r="B10" s="18" t="s">
        <v>7</v>
      </c>
      <c r="C10" s="18">
        <v>197</v>
      </c>
      <c r="D10" s="18">
        <v>1.0000000474974513E-3</v>
      </c>
      <c r="E10" s="3">
        <f t="shared" si="1"/>
        <v>0.2236024844720497</v>
      </c>
      <c r="F10" s="1">
        <f t="shared" si="2"/>
        <v>0</v>
      </c>
      <c r="G10" s="18">
        <v>186</v>
      </c>
      <c r="H10" s="18">
        <v>2.0000000949949026E-3</v>
      </c>
      <c r="I10" s="3">
        <f t="shared" si="3"/>
        <v>0.15527950310559005</v>
      </c>
      <c r="J10" s="1">
        <f t="shared" si="4"/>
        <v>0</v>
      </c>
      <c r="K10" s="18">
        <v>161</v>
      </c>
      <c r="L10" s="18">
        <v>0.16500000655651093</v>
      </c>
      <c r="M10" s="3">
        <f t="shared" si="5"/>
        <v>0</v>
      </c>
      <c r="N10" s="1">
        <f t="shared" si="6"/>
        <v>1</v>
      </c>
      <c r="P10" s="9"/>
      <c r="Q10" s="2"/>
      <c r="S10" s="2">
        <f t="shared" ref="S10:S34" si="7">MIN(C10,G10,K10)</f>
        <v>161</v>
      </c>
    </row>
    <row r="11" spans="2:19" ht="16" x14ac:dyDescent="0.2">
      <c r="B11" s="18" t="s">
        <v>8</v>
      </c>
      <c r="C11" s="18">
        <v>208</v>
      </c>
      <c r="D11" s="18">
        <v>1.0000000474974513E-3</v>
      </c>
      <c r="E11" s="3">
        <f t="shared" si="1"/>
        <v>0.15555555555555556</v>
      </c>
      <c r="F11" s="1">
        <f t="shared" si="2"/>
        <v>0</v>
      </c>
      <c r="G11" s="18">
        <v>184</v>
      </c>
      <c r="H11" s="18">
        <v>8.999999612569809E-3</v>
      </c>
      <c r="I11" s="3">
        <f t="shared" si="3"/>
        <v>2.2222222222222223E-2</v>
      </c>
      <c r="J11" s="1">
        <f t="shared" si="4"/>
        <v>0</v>
      </c>
      <c r="K11" s="18">
        <v>180</v>
      </c>
      <c r="L11" s="18">
        <v>0.35600000619888306</v>
      </c>
      <c r="M11" s="3">
        <f t="shared" si="5"/>
        <v>0</v>
      </c>
      <c r="N11" s="1">
        <f t="shared" si="6"/>
        <v>1</v>
      </c>
      <c r="P11" s="9"/>
      <c r="Q11" s="2"/>
      <c r="S11" s="2">
        <f t="shared" si="7"/>
        <v>180</v>
      </c>
    </row>
    <row r="12" spans="2:19" ht="16" x14ac:dyDescent="0.2">
      <c r="B12" s="18" t="s">
        <v>9</v>
      </c>
      <c r="C12" s="18">
        <v>23</v>
      </c>
      <c r="D12" s="18">
        <v>0</v>
      </c>
      <c r="E12" s="3">
        <f t="shared" si="1"/>
        <v>0.27777777777777779</v>
      </c>
      <c r="F12" s="1">
        <f t="shared" si="2"/>
        <v>0</v>
      </c>
      <c r="G12" s="18">
        <v>20</v>
      </c>
      <c r="H12" s="18">
        <v>0</v>
      </c>
      <c r="I12" s="3">
        <f t="shared" si="3"/>
        <v>0.1111111111111111</v>
      </c>
      <c r="J12" s="1">
        <f t="shared" si="4"/>
        <v>0</v>
      </c>
      <c r="K12" s="18">
        <v>18</v>
      </c>
      <c r="L12" s="18">
        <v>1.4999999664723873E-2</v>
      </c>
      <c r="M12" s="3">
        <f t="shared" si="5"/>
        <v>0</v>
      </c>
      <c r="N12" s="1">
        <f t="shared" si="6"/>
        <v>1</v>
      </c>
      <c r="P12" s="9"/>
      <c r="Q12" s="2"/>
      <c r="S12" s="2">
        <f t="shared" si="7"/>
        <v>18</v>
      </c>
    </row>
    <row r="13" spans="2:19" ht="16" x14ac:dyDescent="0.2">
      <c r="B13" s="18" t="s">
        <v>10</v>
      </c>
      <c r="C13" s="18">
        <v>421</v>
      </c>
      <c r="D13" s="18">
        <v>2.0000000949949026E-3</v>
      </c>
      <c r="E13" s="3">
        <f t="shared" si="1"/>
        <v>0.26426426426426425</v>
      </c>
      <c r="F13" s="1">
        <f t="shared" si="2"/>
        <v>0</v>
      </c>
      <c r="G13" s="18">
        <v>347</v>
      </c>
      <c r="H13" s="18">
        <v>0.31299999356269836</v>
      </c>
      <c r="I13" s="3">
        <f t="shared" si="3"/>
        <v>4.2042042042042045E-2</v>
      </c>
      <c r="J13" s="1">
        <f t="shared" si="4"/>
        <v>0</v>
      </c>
      <c r="K13" s="18">
        <v>333</v>
      </c>
      <c r="L13" s="18">
        <v>11.928999900817871</v>
      </c>
      <c r="M13" s="3">
        <f t="shared" si="5"/>
        <v>0</v>
      </c>
      <c r="N13" s="1">
        <f t="shared" si="6"/>
        <v>1</v>
      </c>
      <c r="P13" s="9"/>
      <c r="Q13" s="2"/>
      <c r="S13" s="2">
        <f t="shared" si="7"/>
        <v>333</v>
      </c>
    </row>
    <row r="14" spans="2:19" ht="16" x14ac:dyDescent="0.2">
      <c r="B14" s="18" t="s">
        <v>11</v>
      </c>
      <c r="C14" s="18">
        <v>81</v>
      </c>
      <c r="D14" s="18">
        <v>0</v>
      </c>
      <c r="E14" s="3">
        <f t="shared" si="1"/>
        <v>0.42105263157894735</v>
      </c>
      <c r="F14" s="1">
        <f t="shared" si="2"/>
        <v>0</v>
      </c>
      <c r="G14" s="18">
        <v>71</v>
      </c>
      <c r="H14" s="18">
        <v>1.0000000474974513E-3</v>
      </c>
      <c r="I14" s="3">
        <f t="shared" si="3"/>
        <v>0.24561403508771928</v>
      </c>
      <c r="J14" s="1">
        <f t="shared" si="4"/>
        <v>0</v>
      </c>
      <c r="K14" s="18">
        <v>57</v>
      </c>
      <c r="L14" s="18">
        <v>6.4000003039836884E-2</v>
      </c>
      <c r="M14" s="3">
        <f t="shared" si="5"/>
        <v>0</v>
      </c>
      <c r="N14" s="1">
        <f t="shared" si="6"/>
        <v>1</v>
      </c>
      <c r="P14" s="9"/>
      <c r="Q14" s="2"/>
      <c r="S14" s="2">
        <f t="shared" si="7"/>
        <v>57</v>
      </c>
    </row>
    <row r="15" spans="2:19" ht="16" x14ac:dyDescent="0.2">
      <c r="B15" s="18" t="s">
        <v>12</v>
      </c>
      <c r="C15" s="18">
        <v>26</v>
      </c>
      <c r="D15" s="18">
        <v>1.0000000474974513E-3</v>
      </c>
      <c r="E15" s="3">
        <f t="shared" si="1"/>
        <v>0</v>
      </c>
      <c r="F15" s="1">
        <f t="shared" si="2"/>
        <v>1</v>
      </c>
      <c r="G15" s="18">
        <v>26</v>
      </c>
      <c r="H15" s="18">
        <v>2.7000000700354576E-2</v>
      </c>
      <c r="I15" s="3">
        <f t="shared" si="3"/>
        <v>0</v>
      </c>
      <c r="J15" s="1">
        <f t="shared" si="4"/>
        <v>1</v>
      </c>
      <c r="K15" s="18">
        <v>26</v>
      </c>
      <c r="L15" s="18">
        <v>4.6979999542236328</v>
      </c>
      <c r="M15" s="3">
        <f t="shared" si="5"/>
        <v>0</v>
      </c>
      <c r="N15" s="1">
        <f t="shared" si="6"/>
        <v>1</v>
      </c>
      <c r="P15" s="9"/>
      <c r="Q15" s="2"/>
      <c r="S15" s="2">
        <f t="shared" si="7"/>
        <v>26</v>
      </c>
    </row>
    <row r="16" spans="2:19" ht="16" x14ac:dyDescent="0.2">
      <c r="B16" s="18" t="s">
        <v>13</v>
      </c>
      <c r="C16" s="18">
        <v>337</v>
      </c>
      <c r="D16" s="18">
        <v>1.0000000474974513E-3</v>
      </c>
      <c r="E16" s="3">
        <f t="shared" si="1"/>
        <v>0.1541095890410959</v>
      </c>
      <c r="F16" s="1">
        <f t="shared" si="2"/>
        <v>0</v>
      </c>
      <c r="G16" s="18">
        <v>329</v>
      </c>
      <c r="H16" s="18">
        <v>2.4000000208616257E-2</v>
      </c>
      <c r="I16" s="3">
        <f t="shared" si="3"/>
        <v>0.12671232876712329</v>
      </c>
      <c r="J16" s="1">
        <f t="shared" si="4"/>
        <v>0</v>
      </c>
      <c r="K16" s="18">
        <v>292</v>
      </c>
      <c r="L16" s="18">
        <v>36.972999572753906</v>
      </c>
      <c r="M16" s="3">
        <f t="shared" si="5"/>
        <v>0</v>
      </c>
      <c r="N16" s="1">
        <f t="shared" si="6"/>
        <v>1</v>
      </c>
      <c r="P16" s="9"/>
      <c r="Q16" s="2"/>
      <c r="S16" s="2">
        <f t="shared" si="7"/>
        <v>292</v>
      </c>
    </row>
    <row r="17" spans="2:19" ht="16" x14ac:dyDescent="0.2">
      <c r="B17" s="18" t="s">
        <v>14</v>
      </c>
      <c r="C17" s="18">
        <v>182</v>
      </c>
      <c r="D17" s="18">
        <v>1.0000000474974513E-3</v>
      </c>
      <c r="E17" s="3">
        <f t="shared" si="1"/>
        <v>0.22147651006711411</v>
      </c>
      <c r="F17" s="1">
        <f t="shared" si="2"/>
        <v>0</v>
      </c>
      <c r="G17" s="18">
        <v>165</v>
      </c>
      <c r="H17" s="18">
        <v>1.0000000474974513E-3</v>
      </c>
      <c r="I17" s="3">
        <f t="shared" si="3"/>
        <v>0.10738255033557047</v>
      </c>
      <c r="J17" s="1">
        <f t="shared" si="4"/>
        <v>0</v>
      </c>
      <c r="K17" s="18">
        <v>149</v>
      </c>
      <c r="L17" s="18">
        <v>0.43900001049041748</v>
      </c>
      <c r="M17" s="3">
        <f t="shared" si="5"/>
        <v>0</v>
      </c>
      <c r="N17" s="1">
        <f t="shared" si="6"/>
        <v>1</v>
      </c>
      <c r="P17" s="9"/>
      <c r="Q17" s="2"/>
      <c r="S17" s="2">
        <f t="shared" si="7"/>
        <v>149</v>
      </c>
    </row>
    <row r="18" spans="2:19" ht="16" x14ac:dyDescent="0.2">
      <c r="B18" s="18" t="s">
        <v>15</v>
      </c>
      <c r="C18" s="18">
        <v>51</v>
      </c>
      <c r="D18" s="18">
        <v>0</v>
      </c>
      <c r="E18" s="3">
        <f t="shared" si="1"/>
        <v>0.18604651162790697</v>
      </c>
      <c r="F18" s="1">
        <f t="shared" si="2"/>
        <v>0</v>
      </c>
      <c r="G18" s="18">
        <v>48</v>
      </c>
      <c r="H18" s="18">
        <v>0</v>
      </c>
      <c r="I18" s="3">
        <f t="shared" si="3"/>
        <v>0.11627906976744186</v>
      </c>
      <c r="J18" s="1">
        <f t="shared" si="4"/>
        <v>0</v>
      </c>
      <c r="K18" s="18">
        <v>43</v>
      </c>
      <c r="L18" s="18">
        <v>4.999999888241291E-3</v>
      </c>
      <c r="M18" s="3">
        <f t="shared" si="5"/>
        <v>0</v>
      </c>
      <c r="N18" s="1">
        <f t="shared" si="6"/>
        <v>1</v>
      </c>
      <c r="P18" s="9"/>
      <c r="Q18" s="2"/>
      <c r="S18" s="2">
        <f t="shared" si="7"/>
        <v>43</v>
      </c>
    </row>
    <row r="19" spans="2:19" ht="16" x14ac:dyDescent="0.2">
      <c r="B19" s="18" t="s">
        <v>16</v>
      </c>
      <c r="C19" s="18">
        <v>18</v>
      </c>
      <c r="D19" s="18">
        <v>1.0000000474974513E-3</v>
      </c>
      <c r="E19" s="3">
        <f t="shared" si="1"/>
        <v>0</v>
      </c>
      <c r="F19" s="1">
        <f t="shared" si="2"/>
        <v>1</v>
      </c>
      <c r="G19" s="18">
        <v>18</v>
      </c>
      <c r="H19" s="18">
        <v>4.8999998718500137E-2</v>
      </c>
      <c r="I19" s="3">
        <f t="shared" si="3"/>
        <v>0</v>
      </c>
      <c r="J19" s="1">
        <f t="shared" si="4"/>
        <v>1</v>
      </c>
      <c r="K19" s="18">
        <v>18</v>
      </c>
      <c r="L19" s="18">
        <v>9.2220001220703125</v>
      </c>
      <c r="M19" s="3">
        <f t="shared" si="5"/>
        <v>0</v>
      </c>
      <c r="N19" s="1">
        <f t="shared" si="6"/>
        <v>1</v>
      </c>
      <c r="P19" s="9"/>
      <c r="Q19" s="2"/>
      <c r="S19" s="2">
        <f t="shared" si="7"/>
        <v>18</v>
      </c>
    </row>
    <row r="20" spans="2:19" ht="16" x14ac:dyDescent="0.2">
      <c r="B20" s="18" t="s">
        <v>17</v>
      </c>
      <c r="C20" s="18">
        <v>3</v>
      </c>
      <c r="D20" s="18">
        <v>1.0000000474974513E-3</v>
      </c>
      <c r="E20" s="3">
        <f t="shared" si="1"/>
        <v>0</v>
      </c>
      <c r="F20" s="1">
        <f t="shared" si="2"/>
        <v>1</v>
      </c>
      <c r="G20" s="18">
        <v>3</v>
      </c>
      <c r="H20" s="18">
        <v>2.6000000536441803E-2</v>
      </c>
      <c r="I20" s="3">
        <f t="shared" si="3"/>
        <v>0</v>
      </c>
      <c r="J20" s="1">
        <f t="shared" si="4"/>
        <v>1</v>
      </c>
      <c r="K20" s="18">
        <v>3</v>
      </c>
      <c r="L20" s="18">
        <v>12.699000358581543</v>
      </c>
      <c r="M20" s="3">
        <f t="shared" si="5"/>
        <v>0</v>
      </c>
      <c r="N20" s="1">
        <f t="shared" si="6"/>
        <v>1</v>
      </c>
      <c r="P20" s="9"/>
      <c r="Q20" s="2"/>
      <c r="S20" s="2">
        <f t="shared" si="7"/>
        <v>3</v>
      </c>
    </row>
    <row r="21" spans="2:19" ht="16" x14ac:dyDescent="0.2">
      <c r="B21" s="18" t="s">
        <v>18</v>
      </c>
      <c r="C21" s="18">
        <v>66</v>
      </c>
      <c r="D21" s="18">
        <v>0</v>
      </c>
      <c r="E21" s="3">
        <f t="shared" si="1"/>
        <v>0.11864406779661017</v>
      </c>
      <c r="F21" s="1">
        <f t="shared" si="2"/>
        <v>0</v>
      </c>
      <c r="G21" s="18">
        <v>59</v>
      </c>
      <c r="H21" s="18">
        <v>3.0000000260770321E-3</v>
      </c>
      <c r="I21" s="3">
        <f t="shared" si="3"/>
        <v>0</v>
      </c>
      <c r="J21" s="1">
        <f t="shared" si="4"/>
        <v>1</v>
      </c>
      <c r="K21" s="18">
        <v>59</v>
      </c>
      <c r="L21" s="18">
        <v>0.17399999499320984</v>
      </c>
      <c r="M21" s="3">
        <f t="shared" si="5"/>
        <v>0</v>
      </c>
      <c r="N21" s="1">
        <f t="shared" si="6"/>
        <v>1</v>
      </c>
      <c r="P21" s="9"/>
      <c r="Q21" s="2"/>
      <c r="S21" s="2">
        <f t="shared" si="7"/>
        <v>59</v>
      </c>
    </row>
    <row r="22" spans="2:19" ht="16" x14ac:dyDescent="0.2">
      <c r="B22" s="18" t="s">
        <v>19</v>
      </c>
      <c r="C22" s="18">
        <v>433</v>
      </c>
      <c r="D22" s="18">
        <v>1.0000000474974513E-3</v>
      </c>
      <c r="E22" s="3">
        <f t="shared" si="1"/>
        <v>0.33641975308641975</v>
      </c>
      <c r="F22" s="1">
        <f t="shared" si="2"/>
        <v>0</v>
      </c>
      <c r="G22" s="18">
        <v>394</v>
      </c>
      <c r="H22" s="18">
        <v>1.4000000432133675E-2</v>
      </c>
      <c r="I22" s="3">
        <f t="shared" si="3"/>
        <v>0.21604938271604937</v>
      </c>
      <c r="J22" s="1">
        <f t="shared" si="4"/>
        <v>0</v>
      </c>
      <c r="K22" s="18">
        <v>324</v>
      </c>
      <c r="L22" s="18">
        <v>1.809999942779541</v>
      </c>
      <c r="M22" s="3">
        <f t="shared" si="5"/>
        <v>0</v>
      </c>
      <c r="N22" s="1">
        <f t="shared" si="6"/>
        <v>1</v>
      </c>
      <c r="P22" s="9"/>
      <c r="Q22" s="2"/>
      <c r="S22" s="2">
        <f t="shared" si="7"/>
        <v>324</v>
      </c>
    </row>
    <row r="23" spans="2:19" ht="16" x14ac:dyDescent="0.2">
      <c r="B23" s="18" t="s">
        <v>20</v>
      </c>
      <c r="C23" s="18">
        <v>822</v>
      </c>
      <c r="D23" s="18">
        <v>0</v>
      </c>
      <c r="E23" s="3">
        <f t="shared" si="1"/>
        <v>0.56273764258555137</v>
      </c>
      <c r="F23" s="1">
        <f t="shared" si="2"/>
        <v>0</v>
      </c>
      <c r="G23" s="18">
        <v>617</v>
      </c>
      <c r="H23" s="18">
        <v>0.2669999897480011</v>
      </c>
      <c r="I23" s="3">
        <f t="shared" si="3"/>
        <v>0.17300380228136883</v>
      </c>
      <c r="J23" s="1">
        <f t="shared" si="4"/>
        <v>0</v>
      </c>
      <c r="K23" s="18">
        <v>526</v>
      </c>
      <c r="L23" s="18">
        <v>21.643999099731445</v>
      </c>
      <c r="M23" s="3">
        <f t="shared" si="5"/>
        <v>0</v>
      </c>
      <c r="N23" s="1">
        <f t="shared" si="6"/>
        <v>1</v>
      </c>
      <c r="P23" s="9"/>
      <c r="Q23" s="2"/>
      <c r="S23" s="2">
        <f t="shared" si="7"/>
        <v>526</v>
      </c>
    </row>
    <row r="24" spans="2:19" ht="16" x14ac:dyDescent="0.2">
      <c r="B24" s="18" t="s">
        <v>21</v>
      </c>
      <c r="C24" s="18">
        <v>134</v>
      </c>
      <c r="D24" s="18">
        <v>1.0000000474974513E-3</v>
      </c>
      <c r="E24" s="3">
        <f t="shared" si="1"/>
        <v>0.31372549019607843</v>
      </c>
      <c r="F24" s="1">
        <f t="shared" si="2"/>
        <v>0</v>
      </c>
      <c r="G24" s="18">
        <v>127</v>
      </c>
      <c r="H24" s="18">
        <v>3.7000000476837158E-2</v>
      </c>
      <c r="I24" s="3">
        <f t="shared" si="3"/>
        <v>0.24509803921568626</v>
      </c>
      <c r="J24" s="1">
        <f t="shared" si="4"/>
        <v>0</v>
      </c>
      <c r="K24" s="18">
        <v>102</v>
      </c>
      <c r="L24" s="18">
        <v>34.847000122070312</v>
      </c>
      <c r="M24" s="3">
        <f t="shared" si="5"/>
        <v>0</v>
      </c>
      <c r="N24" s="1">
        <f t="shared" si="6"/>
        <v>1</v>
      </c>
      <c r="P24" s="9"/>
      <c r="Q24" s="2"/>
      <c r="S24" s="2">
        <f t="shared" si="7"/>
        <v>102</v>
      </c>
    </row>
    <row r="25" spans="2:19" ht="16" x14ac:dyDescent="0.2">
      <c r="B25" s="18" t="s">
        <v>22</v>
      </c>
      <c r="C25" s="18">
        <v>21</v>
      </c>
      <c r="D25" s="18">
        <v>0</v>
      </c>
      <c r="E25" s="3">
        <f t="shared" si="1"/>
        <v>0.10526315789473684</v>
      </c>
      <c r="F25" s="1">
        <f t="shared" si="2"/>
        <v>0</v>
      </c>
      <c r="G25" s="18">
        <v>19</v>
      </c>
      <c r="H25" s="18">
        <v>0</v>
      </c>
      <c r="I25" s="3">
        <f t="shared" si="3"/>
        <v>0</v>
      </c>
      <c r="J25" s="1">
        <f t="shared" si="4"/>
        <v>1</v>
      </c>
      <c r="K25" s="18">
        <v>19</v>
      </c>
      <c r="L25" s="18">
        <v>6.0000000521540642E-3</v>
      </c>
      <c r="M25" s="3">
        <f t="shared" si="5"/>
        <v>0</v>
      </c>
      <c r="N25" s="1">
        <f t="shared" si="6"/>
        <v>1</v>
      </c>
      <c r="P25" s="9"/>
      <c r="Q25" s="2"/>
      <c r="S25" s="2">
        <f t="shared" si="7"/>
        <v>19</v>
      </c>
    </row>
    <row r="26" spans="2:19" ht="16" x14ac:dyDescent="0.2">
      <c r="B26" s="18" t="s">
        <v>23</v>
      </c>
      <c r="C26" s="18">
        <v>39</v>
      </c>
      <c r="D26" s="18">
        <v>1.0000000474974513E-3</v>
      </c>
      <c r="E26" s="3">
        <f t="shared" si="1"/>
        <v>0</v>
      </c>
      <c r="F26" s="1">
        <f t="shared" si="2"/>
        <v>1</v>
      </c>
      <c r="G26" s="18">
        <v>39</v>
      </c>
      <c r="H26" s="18">
        <v>1.4999999664723873E-2</v>
      </c>
      <c r="I26" s="3">
        <f t="shared" si="3"/>
        <v>0</v>
      </c>
      <c r="J26" s="1">
        <f t="shared" si="4"/>
        <v>1</v>
      </c>
      <c r="K26" s="18">
        <v>39</v>
      </c>
      <c r="L26" s="18">
        <v>2.6689999103546143</v>
      </c>
      <c r="M26" s="3">
        <f t="shared" si="5"/>
        <v>0</v>
      </c>
      <c r="N26" s="1">
        <f t="shared" si="6"/>
        <v>1</v>
      </c>
      <c r="P26" s="9"/>
      <c r="Q26" s="2"/>
      <c r="S26" s="2">
        <f t="shared" si="7"/>
        <v>39</v>
      </c>
    </row>
    <row r="27" spans="2:19" ht="16" x14ac:dyDescent="0.2">
      <c r="B27" s="18" t="s">
        <v>24</v>
      </c>
      <c r="C27" s="18">
        <v>225</v>
      </c>
      <c r="D27" s="18">
        <v>1.0000000474974513E-3</v>
      </c>
      <c r="E27" s="3">
        <f t="shared" si="1"/>
        <v>0.171875</v>
      </c>
      <c r="F27" s="1">
        <f t="shared" si="2"/>
        <v>0</v>
      </c>
      <c r="G27" s="18">
        <v>202</v>
      </c>
      <c r="H27" s="18">
        <v>1.0999999940395355E-2</v>
      </c>
      <c r="I27" s="3">
        <f t="shared" si="3"/>
        <v>5.2083333333333336E-2</v>
      </c>
      <c r="J27" s="1">
        <f t="shared" si="4"/>
        <v>0</v>
      </c>
      <c r="K27" s="18">
        <v>192</v>
      </c>
      <c r="L27" s="18">
        <v>1.0410000085830688</v>
      </c>
      <c r="M27" s="3">
        <f t="shared" si="5"/>
        <v>0</v>
      </c>
      <c r="N27" s="1">
        <f t="shared" si="6"/>
        <v>1</v>
      </c>
      <c r="P27" s="9"/>
      <c r="Q27" s="2"/>
      <c r="S27" s="2">
        <f t="shared" si="7"/>
        <v>192</v>
      </c>
    </row>
    <row r="28" spans="2:19" ht="16" x14ac:dyDescent="0.2">
      <c r="B28" s="18" t="s">
        <v>25</v>
      </c>
      <c r="C28" s="18">
        <v>644</v>
      </c>
      <c r="D28" s="18">
        <v>1.0000000474974513E-3</v>
      </c>
      <c r="E28" s="3">
        <f t="shared" si="1"/>
        <v>0.27272727272727271</v>
      </c>
      <c r="F28" s="1">
        <f t="shared" si="2"/>
        <v>0</v>
      </c>
      <c r="G28" s="18">
        <v>565</v>
      </c>
      <c r="H28" s="18">
        <v>1.7999999225139618E-2</v>
      </c>
      <c r="I28" s="3">
        <f t="shared" si="3"/>
        <v>0.116600790513834</v>
      </c>
      <c r="J28" s="1">
        <f t="shared" si="4"/>
        <v>0</v>
      </c>
      <c r="K28" s="18">
        <v>506</v>
      </c>
      <c r="L28" s="18">
        <v>3.9879999160766602</v>
      </c>
      <c r="M28" s="3">
        <f t="shared" si="5"/>
        <v>0</v>
      </c>
      <c r="N28" s="1">
        <f t="shared" si="6"/>
        <v>1</v>
      </c>
      <c r="P28" s="9"/>
      <c r="Q28" s="2"/>
      <c r="S28" s="2">
        <f t="shared" si="7"/>
        <v>506</v>
      </c>
    </row>
    <row r="29" spans="2:19" ht="16" x14ac:dyDescent="0.2">
      <c r="B29" s="1" t="s">
        <v>26</v>
      </c>
      <c r="C29" s="18">
        <v>104</v>
      </c>
      <c r="D29" s="18">
        <v>0</v>
      </c>
      <c r="E29" s="3">
        <f t="shared" si="1"/>
        <v>0.10638297872340426</v>
      </c>
      <c r="F29" s="1">
        <f t="shared" si="2"/>
        <v>0</v>
      </c>
      <c r="G29" s="18">
        <v>94</v>
      </c>
      <c r="H29" s="18">
        <v>2.0000000949949026E-3</v>
      </c>
      <c r="I29" s="3">
        <f t="shared" si="3"/>
        <v>0</v>
      </c>
      <c r="J29" s="1">
        <f t="shared" si="4"/>
        <v>1</v>
      </c>
      <c r="K29" s="18">
        <v>94</v>
      </c>
      <c r="L29" s="18">
        <v>8.7999999523162842E-2</v>
      </c>
      <c r="M29" s="3">
        <f t="shared" si="5"/>
        <v>0</v>
      </c>
      <c r="N29" s="1">
        <f t="shared" si="6"/>
        <v>1</v>
      </c>
      <c r="S29" s="2">
        <f t="shared" si="7"/>
        <v>94</v>
      </c>
    </row>
    <row r="30" spans="2:19" ht="16" x14ac:dyDescent="0.2">
      <c r="B30" s="18" t="s">
        <v>27</v>
      </c>
      <c r="C30" s="18">
        <v>177</v>
      </c>
      <c r="D30" s="18">
        <v>0</v>
      </c>
      <c r="E30" s="3">
        <f t="shared" si="1"/>
        <v>0.31111111111111112</v>
      </c>
      <c r="F30" s="1">
        <f t="shared" si="2"/>
        <v>0</v>
      </c>
      <c r="G30" s="18">
        <v>149</v>
      </c>
      <c r="H30" s="18">
        <v>3.0000000260770321E-3</v>
      </c>
      <c r="I30" s="3">
        <f t="shared" si="3"/>
        <v>0.1037037037037037</v>
      </c>
      <c r="J30" s="1">
        <f t="shared" si="4"/>
        <v>0</v>
      </c>
      <c r="K30" s="18">
        <v>135</v>
      </c>
      <c r="L30" s="18">
        <v>0.18600000441074371</v>
      </c>
      <c r="M30" s="3">
        <f t="shared" si="5"/>
        <v>0</v>
      </c>
      <c r="N30" s="1">
        <f t="shared" si="6"/>
        <v>1</v>
      </c>
      <c r="S30" s="2">
        <f t="shared" si="7"/>
        <v>135</v>
      </c>
    </row>
    <row r="31" spans="2:19" ht="16" x14ac:dyDescent="0.2">
      <c r="B31" s="18" t="s">
        <v>28</v>
      </c>
      <c r="C31" s="18">
        <v>39</v>
      </c>
      <c r="D31" s="18">
        <v>0</v>
      </c>
      <c r="E31" s="3">
        <f t="shared" si="1"/>
        <v>0.11428571428571428</v>
      </c>
      <c r="F31" s="1">
        <f t="shared" si="2"/>
        <v>0</v>
      </c>
      <c r="G31" s="18">
        <v>38</v>
      </c>
      <c r="H31" s="18">
        <v>3.0000000260770321E-3</v>
      </c>
      <c r="I31" s="3">
        <f t="shared" si="3"/>
        <v>8.5714285714285715E-2</v>
      </c>
      <c r="J31" s="1">
        <f t="shared" si="4"/>
        <v>0</v>
      </c>
      <c r="K31" s="18">
        <v>35</v>
      </c>
      <c r="L31" s="18">
        <v>0.66100001335144043</v>
      </c>
      <c r="M31" s="3">
        <f t="shared" si="5"/>
        <v>0</v>
      </c>
      <c r="N31" s="1">
        <f t="shared" si="6"/>
        <v>1</v>
      </c>
      <c r="S31" s="2">
        <f t="shared" si="7"/>
        <v>35</v>
      </c>
    </row>
    <row r="32" spans="2:19" ht="16" x14ac:dyDescent="0.2">
      <c r="B32" s="18" t="s">
        <v>29</v>
      </c>
      <c r="C32" s="18">
        <v>75</v>
      </c>
      <c r="D32" s="18">
        <v>0</v>
      </c>
      <c r="E32" s="3">
        <f t="shared" si="1"/>
        <v>0.19047619047619047</v>
      </c>
      <c r="F32" s="1">
        <f t="shared" si="2"/>
        <v>0</v>
      </c>
      <c r="G32" s="18">
        <v>67</v>
      </c>
      <c r="H32" s="18">
        <v>1.0000000474974513E-3</v>
      </c>
      <c r="I32" s="3">
        <f t="shared" si="3"/>
        <v>6.3492063492063489E-2</v>
      </c>
      <c r="J32" s="1">
        <f t="shared" si="4"/>
        <v>0</v>
      </c>
      <c r="K32" s="18">
        <v>63</v>
      </c>
      <c r="L32" s="18">
        <v>3.9999999105930328E-2</v>
      </c>
      <c r="M32" s="3">
        <f t="shared" si="5"/>
        <v>0</v>
      </c>
      <c r="N32" s="1">
        <f t="shared" si="6"/>
        <v>1</v>
      </c>
      <c r="S32" s="2">
        <f t="shared" si="7"/>
        <v>63</v>
      </c>
    </row>
    <row r="33" spans="2:19" ht="16" x14ac:dyDescent="0.2">
      <c r="B33" s="18" t="s">
        <v>30</v>
      </c>
      <c r="C33" s="18">
        <v>15</v>
      </c>
      <c r="D33" s="18">
        <v>0</v>
      </c>
      <c r="E33" s="3">
        <f t="shared" si="1"/>
        <v>0.36363636363636365</v>
      </c>
      <c r="F33" s="1">
        <f t="shared" si="2"/>
        <v>0</v>
      </c>
      <c r="G33" s="18">
        <v>15</v>
      </c>
      <c r="H33" s="18">
        <v>0</v>
      </c>
      <c r="I33" s="3">
        <f t="shared" si="3"/>
        <v>0.36363636363636365</v>
      </c>
      <c r="J33" s="1">
        <f t="shared" si="4"/>
        <v>0</v>
      </c>
      <c r="K33" s="18">
        <v>11</v>
      </c>
      <c r="L33" s="18">
        <v>1.7000000923871994E-2</v>
      </c>
      <c r="M33" s="3">
        <f t="shared" si="5"/>
        <v>0</v>
      </c>
      <c r="N33" s="1">
        <f t="shared" si="6"/>
        <v>1</v>
      </c>
      <c r="S33" s="2">
        <f t="shared" si="7"/>
        <v>11</v>
      </c>
    </row>
    <row r="34" spans="2:19" ht="16" x14ac:dyDescent="0.2">
      <c r="B34" s="18" t="s">
        <v>32</v>
      </c>
      <c r="C34" s="18">
        <v>112</v>
      </c>
      <c r="D34" s="18">
        <v>0</v>
      </c>
      <c r="E34" s="3">
        <f t="shared" si="1"/>
        <v>0.17894736842105263</v>
      </c>
      <c r="F34" s="1">
        <f t="shared" si="2"/>
        <v>0</v>
      </c>
      <c r="G34" s="18">
        <v>105</v>
      </c>
      <c r="H34" s="18">
        <v>2.0000000949949026E-3</v>
      </c>
      <c r="I34" s="3">
        <f t="shared" si="3"/>
        <v>0.10526315789473684</v>
      </c>
      <c r="J34" s="1">
        <f t="shared" si="4"/>
        <v>0</v>
      </c>
      <c r="K34" s="18">
        <v>95</v>
      </c>
      <c r="L34" s="18">
        <v>0.17800000309944153</v>
      </c>
      <c r="M34" s="3">
        <f t="shared" si="5"/>
        <v>0</v>
      </c>
      <c r="N34" s="1">
        <f t="shared" si="6"/>
        <v>1</v>
      </c>
      <c r="S34" s="2">
        <f t="shared" si="7"/>
        <v>95</v>
      </c>
    </row>
  </sheetData>
  <mergeCells count="4">
    <mergeCell ref="P7:Q7"/>
    <mergeCell ref="C7:F7"/>
    <mergeCell ref="G7:J7"/>
    <mergeCell ref="K7:N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A50BE-7089-A642-A8F9-E5065ADCA354}">
  <dimension ref="B2:S34"/>
  <sheetViews>
    <sheetView workbookViewId="0">
      <selection activeCell="E3" sqref="E3"/>
    </sheetView>
  </sheetViews>
  <sheetFormatPr baseColWidth="10" defaultRowHeight="15" x14ac:dyDescent="0.2"/>
  <cols>
    <col min="2" max="2" width="31.83203125" bestFit="1" customWidth="1"/>
    <col min="3" max="3" width="8.83203125" bestFit="1" customWidth="1"/>
    <col min="4" max="4" width="11.83203125" bestFit="1" customWidth="1"/>
    <col min="5" max="5" width="10.83203125" bestFit="1" customWidth="1"/>
    <col min="6" max="6" width="5.6640625" bestFit="1" customWidth="1"/>
    <col min="7" max="7" width="7.5" customWidth="1"/>
    <col min="8" max="8" width="8.6640625" customWidth="1"/>
    <col min="9" max="9" width="10.83203125" bestFit="1" customWidth="1"/>
    <col min="10" max="10" width="7.83203125" customWidth="1"/>
    <col min="11" max="11" width="10.1640625" customWidth="1"/>
    <col min="12" max="12" width="8.83203125" customWidth="1"/>
    <col min="13" max="13" width="9.6640625" bestFit="1" customWidth="1"/>
    <col min="14" max="14" width="4.6640625" bestFit="1" customWidth="1"/>
    <col min="15" max="15" width="7.1640625" customWidth="1"/>
  </cols>
  <sheetData>
    <row r="2" spans="2:19" ht="16" x14ac:dyDescent="0.2">
      <c r="B2" s="11" t="s">
        <v>33</v>
      </c>
      <c r="C2" s="11" t="s">
        <v>312</v>
      </c>
      <c r="D2" s="11" t="s">
        <v>0</v>
      </c>
      <c r="E2" s="11" t="s">
        <v>313</v>
      </c>
      <c r="F2" s="11" t="s">
        <v>4</v>
      </c>
    </row>
    <row r="3" spans="2:19" ht="16" x14ac:dyDescent="0.2">
      <c r="B3" s="10" t="str">
        <f>C7</f>
        <v>Variable Neighborhood Search</v>
      </c>
      <c r="C3" s="4">
        <f>AVERAGE(C9:C34)</f>
        <v>159.03846153846155</v>
      </c>
      <c r="D3" s="13">
        <f>AVERAGE(D9:D34)</f>
        <v>8.1656923349230333</v>
      </c>
      <c r="E3" s="6">
        <f>AVERAGE(E9:E34)</f>
        <v>1.4633191873348255E-2</v>
      </c>
      <c r="F3" s="7">
        <f>SUM(F9:F34)</f>
        <v>15</v>
      </c>
    </row>
    <row r="4" spans="2:19" ht="16" x14ac:dyDescent="0.2">
      <c r="B4" s="10" t="str">
        <f>G7</f>
        <v>Tabu Search</v>
      </c>
      <c r="C4" s="4">
        <f>AVERAGE(G9:G34)</f>
        <v>155.73076923076923</v>
      </c>
      <c r="D4" s="12">
        <f>AVERAGE(H9:H34)</f>
        <v>4.1161153671833182</v>
      </c>
      <c r="E4" s="6">
        <f>AVERAGE(I9:I34)</f>
        <v>6.4735898641727317E-3</v>
      </c>
      <c r="F4" s="7">
        <f>SUM(J9:J34)</f>
        <v>19</v>
      </c>
    </row>
    <row r="5" spans="2:19" ht="16" x14ac:dyDescent="0.2">
      <c r="B5" s="11" t="str">
        <f>K7</f>
        <v xml:space="preserve">Iterated Local Search </v>
      </c>
      <c r="C5" s="5">
        <f>AVERAGE(K9:K34)</f>
        <v>154.30769230769232</v>
      </c>
      <c r="D5" s="13">
        <f t="shared" ref="D5:E5" si="0">AVERAGE(L9:L34)</f>
        <v>5.6006922671356456</v>
      </c>
      <c r="E5" s="8">
        <f t="shared" si="0"/>
        <v>3.3977861846714308E-3</v>
      </c>
      <c r="F5" s="14">
        <f>SUM(N9:N34)</f>
        <v>24</v>
      </c>
    </row>
    <row r="7" spans="2:19" ht="16" x14ac:dyDescent="0.2">
      <c r="C7" s="41" t="s">
        <v>296</v>
      </c>
      <c r="D7" s="41"/>
      <c r="E7" s="41"/>
      <c r="F7" s="41"/>
      <c r="G7" s="41" t="s">
        <v>297</v>
      </c>
      <c r="H7" s="41"/>
      <c r="I7" s="41"/>
      <c r="J7" s="41"/>
      <c r="K7" s="47" t="s">
        <v>133</v>
      </c>
      <c r="L7" s="47"/>
      <c r="M7" s="47"/>
      <c r="N7" s="47"/>
      <c r="O7" s="30"/>
      <c r="P7" s="40"/>
      <c r="Q7" s="40"/>
    </row>
    <row r="8" spans="2:19" ht="16" x14ac:dyDescent="0.2">
      <c r="B8" s="1" t="s">
        <v>5</v>
      </c>
      <c r="C8" s="1" t="s">
        <v>1</v>
      </c>
      <c r="D8" s="1" t="s">
        <v>0</v>
      </c>
      <c r="E8" s="1" t="s">
        <v>2</v>
      </c>
      <c r="F8" s="1" t="s">
        <v>3</v>
      </c>
      <c r="G8" s="1" t="s">
        <v>1</v>
      </c>
      <c r="H8" s="1" t="s">
        <v>0</v>
      </c>
      <c r="I8" s="1" t="s">
        <v>2</v>
      </c>
      <c r="J8" s="1" t="s">
        <v>3</v>
      </c>
      <c r="K8" s="1" t="s">
        <v>1</v>
      </c>
      <c r="L8" s="1" t="s">
        <v>0</v>
      </c>
      <c r="M8" s="1" t="s">
        <v>2</v>
      </c>
      <c r="N8" s="1" t="s">
        <v>3</v>
      </c>
      <c r="O8" s="2"/>
      <c r="P8" s="2"/>
      <c r="Q8" s="2"/>
      <c r="S8" s="2" t="s">
        <v>4</v>
      </c>
    </row>
    <row r="9" spans="2:19" ht="16" x14ac:dyDescent="0.2">
      <c r="B9" s="18" t="s">
        <v>6</v>
      </c>
      <c r="C9" s="18">
        <v>538</v>
      </c>
      <c r="D9" s="18">
        <v>2.0789999961853027</v>
      </c>
      <c r="E9" s="3">
        <f t="shared" ref="E9:E34" si="1">(C9-$S9)/$S9</f>
        <v>1.1278195488721804E-2</v>
      </c>
      <c r="F9" s="1">
        <f t="shared" ref="F9:F34" si="2">IF(C9=$S9,1,0)</f>
        <v>0</v>
      </c>
      <c r="G9">
        <v>536</v>
      </c>
      <c r="H9">
        <v>2.0429999828338623</v>
      </c>
      <c r="I9" s="3">
        <f t="shared" ref="I9:I34" si="3">(G9-$S9)/$S9</f>
        <v>7.5187969924812026E-3</v>
      </c>
      <c r="J9" s="1">
        <f t="shared" ref="J9:J34" si="4">IF(G9=$S9,1,0)</f>
        <v>0</v>
      </c>
      <c r="K9" s="18">
        <v>532</v>
      </c>
      <c r="L9" s="18">
        <v>1.7039999961853027</v>
      </c>
      <c r="M9" s="3">
        <f t="shared" ref="M9:M34" si="5">(K9-$S9)/$S9</f>
        <v>0</v>
      </c>
      <c r="N9" s="1">
        <f t="shared" ref="N9:N34" si="6">IF(K9=$S9,1,0)</f>
        <v>1</v>
      </c>
      <c r="P9" s="9"/>
      <c r="Q9" s="2"/>
      <c r="S9" s="2">
        <f>MIN(C9,G9,K9)</f>
        <v>532</v>
      </c>
    </row>
    <row r="10" spans="2:19" ht="16" x14ac:dyDescent="0.2">
      <c r="B10" s="18" t="s">
        <v>7</v>
      </c>
      <c r="C10" s="18">
        <v>161</v>
      </c>
      <c r="D10" s="18">
        <v>0.37700000405311584</v>
      </c>
      <c r="E10" s="3">
        <f t="shared" si="1"/>
        <v>0</v>
      </c>
      <c r="F10" s="1">
        <f t="shared" si="2"/>
        <v>1</v>
      </c>
      <c r="G10">
        <v>161</v>
      </c>
      <c r="H10">
        <v>0.21500000357627869</v>
      </c>
      <c r="I10" s="3">
        <f t="shared" si="3"/>
        <v>0</v>
      </c>
      <c r="J10" s="1">
        <f t="shared" si="4"/>
        <v>1</v>
      </c>
      <c r="K10" s="18">
        <v>161</v>
      </c>
      <c r="L10" s="18">
        <v>0.16500000655651093</v>
      </c>
      <c r="M10" s="3">
        <f t="shared" si="5"/>
        <v>0</v>
      </c>
      <c r="N10" s="1">
        <f t="shared" si="6"/>
        <v>1</v>
      </c>
      <c r="P10" s="9"/>
      <c r="Q10" s="2"/>
      <c r="S10" s="2">
        <f t="shared" ref="S10:S34" si="7">MIN(C10,G10,K10)</f>
        <v>161</v>
      </c>
    </row>
    <row r="11" spans="2:19" ht="16" x14ac:dyDescent="0.2">
      <c r="B11" s="18" t="s">
        <v>8</v>
      </c>
      <c r="C11" s="18">
        <v>182</v>
      </c>
      <c r="D11" s="18">
        <v>0.94700002670288086</v>
      </c>
      <c r="E11" s="3">
        <f t="shared" si="1"/>
        <v>1.1111111111111112E-2</v>
      </c>
      <c r="F11" s="1">
        <f t="shared" si="2"/>
        <v>0</v>
      </c>
      <c r="G11">
        <v>180</v>
      </c>
      <c r="H11">
        <v>0.38400000333786011</v>
      </c>
      <c r="I11" s="3">
        <f t="shared" si="3"/>
        <v>0</v>
      </c>
      <c r="J11" s="1">
        <f t="shared" si="4"/>
        <v>1</v>
      </c>
      <c r="K11" s="18">
        <v>180</v>
      </c>
      <c r="L11" s="18">
        <v>0.35600000619888306</v>
      </c>
      <c r="M11" s="3">
        <f t="shared" si="5"/>
        <v>0</v>
      </c>
      <c r="N11" s="1">
        <f t="shared" si="6"/>
        <v>1</v>
      </c>
      <c r="P11" s="9"/>
      <c r="Q11" s="2"/>
      <c r="S11" s="2">
        <f t="shared" si="7"/>
        <v>180</v>
      </c>
    </row>
    <row r="12" spans="2:19" ht="16" x14ac:dyDescent="0.2">
      <c r="B12" s="18" t="s">
        <v>9</v>
      </c>
      <c r="C12" s="18">
        <v>18</v>
      </c>
      <c r="D12" s="18">
        <v>3.5000000149011612E-2</v>
      </c>
      <c r="E12" s="3">
        <f t="shared" si="1"/>
        <v>0</v>
      </c>
      <c r="F12" s="1">
        <f t="shared" si="2"/>
        <v>1</v>
      </c>
      <c r="G12">
        <v>18</v>
      </c>
      <c r="H12">
        <v>1.2000000104308128E-2</v>
      </c>
      <c r="I12" s="3">
        <f t="shared" si="3"/>
        <v>0</v>
      </c>
      <c r="J12" s="1">
        <f t="shared" si="4"/>
        <v>1</v>
      </c>
      <c r="K12" s="18">
        <v>18</v>
      </c>
      <c r="L12" s="18">
        <v>1.4999999664723873E-2</v>
      </c>
      <c r="M12" s="3">
        <f t="shared" si="5"/>
        <v>0</v>
      </c>
      <c r="N12" s="1">
        <f t="shared" si="6"/>
        <v>1</v>
      </c>
      <c r="P12" s="9"/>
      <c r="Q12" s="2"/>
      <c r="S12" s="2">
        <f t="shared" si="7"/>
        <v>18</v>
      </c>
    </row>
    <row r="13" spans="2:19" ht="16" x14ac:dyDescent="0.2">
      <c r="B13" s="18" t="s">
        <v>10</v>
      </c>
      <c r="C13" s="18">
        <v>333</v>
      </c>
      <c r="D13" s="18">
        <v>23.16200065612793</v>
      </c>
      <c r="E13" s="3">
        <f t="shared" si="1"/>
        <v>0</v>
      </c>
      <c r="F13" s="1">
        <f t="shared" si="2"/>
        <v>1</v>
      </c>
      <c r="G13">
        <v>333</v>
      </c>
      <c r="H13">
        <v>10.380999565124512</v>
      </c>
      <c r="I13" s="3">
        <f t="shared" si="3"/>
        <v>0</v>
      </c>
      <c r="J13" s="1">
        <f t="shared" si="4"/>
        <v>1</v>
      </c>
      <c r="K13" s="18">
        <v>333</v>
      </c>
      <c r="L13" s="18">
        <v>11.928999900817871</v>
      </c>
      <c r="M13" s="3">
        <f t="shared" si="5"/>
        <v>0</v>
      </c>
      <c r="N13" s="1">
        <f t="shared" si="6"/>
        <v>1</v>
      </c>
      <c r="P13" s="9"/>
      <c r="Q13" s="2"/>
      <c r="S13" s="2">
        <f t="shared" si="7"/>
        <v>333</v>
      </c>
    </row>
    <row r="14" spans="2:19" ht="16" x14ac:dyDescent="0.2">
      <c r="B14" s="18" t="s">
        <v>11</v>
      </c>
      <c r="C14" s="18">
        <v>57</v>
      </c>
      <c r="D14" s="18">
        <v>0.13400000333786011</v>
      </c>
      <c r="E14" s="3">
        <f t="shared" si="1"/>
        <v>0</v>
      </c>
      <c r="F14" s="1">
        <f t="shared" si="2"/>
        <v>1</v>
      </c>
      <c r="G14">
        <v>57</v>
      </c>
      <c r="H14">
        <v>6.4999997615814209E-2</v>
      </c>
      <c r="I14" s="3">
        <f t="shared" si="3"/>
        <v>0</v>
      </c>
      <c r="J14" s="1">
        <f t="shared" si="4"/>
        <v>1</v>
      </c>
      <c r="K14" s="18">
        <v>57</v>
      </c>
      <c r="L14" s="18">
        <v>6.4000003039836884E-2</v>
      </c>
      <c r="M14" s="3">
        <f t="shared" si="5"/>
        <v>0</v>
      </c>
      <c r="N14" s="1">
        <f t="shared" si="6"/>
        <v>1</v>
      </c>
      <c r="P14" s="9"/>
      <c r="Q14" s="2"/>
      <c r="S14" s="2">
        <f t="shared" si="7"/>
        <v>57</v>
      </c>
    </row>
    <row r="15" spans="2:19" ht="16" x14ac:dyDescent="0.2">
      <c r="B15" s="18" t="s">
        <v>12</v>
      </c>
      <c r="C15" s="18">
        <v>26</v>
      </c>
      <c r="D15" s="18">
        <v>9.7539997100830078</v>
      </c>
      <c r="E15" s="3">
        <f t="shared" si="1"/>
        <v>0</v>
      </c>
      <c r="F15" s="1">
        <f t="shared" si="2"/>
        <v>1</v>
      </c>
      <c r="G15">
        <v>26</v>
      </c>
      <c r="H15">
        <v>4.6479997634887695</v>
      </c>
      <c r="I15" s="3">
        <f t="shared" si="3"/>
        <v>0</v>
      </c>
      <c r="J15" s="1">
        <f t="shared" si="4"/>
        <v>1</v>
      </c>
      <c r="K15" s="18">
        <v>26</v>
      </c>
      <c r="L15" s="18">
        <v>4.6979999542236328</v>
      </c>
      <c r="M15" s="3">
        <f t="shared" si="5"/>
        <v>0</v>
      </c>
      <c r="N15" s="1">
        <f t="shared" si="6"/>
        <v>1</v>
      </c>
      <c r="P15" s="9"/>
      <c r="Q15" s="2"/>
      <c r="S15" s="2">
        <f t="shared" si="7"/>
        <v>26</v>
      </c>
    </row>
    <row r="16" spans="2:19" ht="16" x14ac:dyDescent="0.2">
      <c r="B16" s="18" t="s">
        <v>13</v>
      </c>
      <c r="C16" s="18">
        <v>300</v>
      </c>
      <c r="D16" s="18">
        <v>48.472000122070312</v>
      </c>
      <c r="E16" s="3">
        <f t="shared" si="1"/>
        <v>2.7397260273972601E-2</v>
      </c>
      <c r="F16" s="1">
        <f t="shared" si="2"/>
        <v>0</v>
      </c>
      <c r="G16">
        <v>297</v>
      </c>
      <c r="H16">
        <v>17.819000244140625</v>
      </c>
      <c r="I16" s="3">
        <f t="shared" si="3"/>
        <v>1.7123287671232876E-2</v>
      </c>
      <c r="J16" s="1">
        <f t="shared" si="4"/>
        <v>0</v>
      </c>
      <c r="K16" s="18">
        <v>292</v>
      </c>
      <c r="L16" s="18">
        <v>36.972999572753906</v>
      </c>
      <c r="M16" s="3">
        <f t="shared" si="5"/>
        <v>0</v>
      </c>
      <c r="N16" s="1">
        <f t="shared" si="6"/>
        <v>1</v>
      </c>
      <c r="P16" s="9"/>
      <c r="Q16" s="2"/>
      <c r="S16" s="2">
        <f t="shared" si="7"/>
        <v>292</v>
      </c>
    </row>
    <row r="17" spans="2:19" ht="16" x14ac:dyDescent="0.2">
      <c r="B17" s="18" t="s">
        <v>14</v>
      </c>
      <c r="C17" s="18">
        <v>152</v>
      </c>
      <c r="D17" s="18">
        <v>1.0700000524520874</v>
      </c>
      <c r="E17" s="3">
        <f t="shared" si="1"/>
        <v>2.0134228187919462E-2</v>
      </c>
      <c r="F17" s="1">
        <f t="shared" si="2"/>
        <v>0</v>
      </c>
      <c r="G17">
        <v>149</v>
      </c>
      <c r="H17">
        <v>0.55699998140335083</v>
      </c>
      <c r="I17" s="3">
        <f t="shared" si="3"/>
        <v>0</v>
      </c>
      <c r="J17" s="1">
        <f t="shared" si="4"/>
        <v>1</v>
      </c>
      <c r="K17" s="18">
        <v>149</v>
      </c>
      <c r="L17" s="18">
        <v>0.43900001049041748</v>
      </c>
      <c r="M17" s="3">
        <f t="shared" si="5"/>
        <v>0</v>
      </c>
      <c r="N17" s="1">
        <f t="shared" si="6"/>
        <v>1</v>
      </c>
      <c r="P17" s="9"/>
      <c r="Q17" s="2"/>
      <c r="S17" s="2">
        <f t="shared" si="7"/>
        <v>149</v>
      </c>
    </row>
    <row r="18" spans="2:19" ht="16" x14ac:dyDescent="0.2">
      <c r="B18" s="18" t="s">
        <v>15</v>
      </c>
      <c r="C18" s="18">
        <v>43</v>
      </c>
      <c r="D18" s="18">
        <v>1.3000000268220901E-2</v>
      </c>
      <c r="E18" s="3">
        <f t="shared" si="1"/>
        <v>0</v>
      </c>
      <c r="F18" s="1">
        <f t="shared" si="2"/>
        <v>1</v>
      </c>
      <c r="G18">
        <v>43</v>
      </c>
      <c r="H18">
        <v>4.999999888241291E-3</v>
      </c>
      <c r="I18" s="3">
        <f t="shared" si="3"/>
        <v>0</v>
      </c>
      <c r="J18" s="1">
        <f t="shared" si="4"/>
        <v>1</v>
      </c>
      <c r="K18" s="18">
        <v>43</v>
      </c>
      <c r="L18" s="18">
        <v>4.999999888241291E-3</v>
      </c>
      <c r="M18" s="3">
        <f t="shared" si="5"/>
        <v>0</v>
      </c>
      <c r="N18" s="1">
        <f t="shared" si="6"/>
        <v>1</v>
      </c>
      <c r="P18" s="9"/>
      <c r="Q18" s="2"/>
      <c r="S18" s="2">
        <f t="shared" si="7"/>
        <v>43</v>
      </c>
    </row>
    <row r="19" spans="2:19" ht="16" x14ac:dyDescent="0.2">
      <c r="B19" s="18" t="s">
        <v>16</v>
      </c>
      <c r="C19" s="18">
        <v>18</v>
      </c>
      <c r="D19" s="18">
        <v>18.364999771118164</v>
      </c>
      <c r="E19" s="3">
        <f t="shared" si="1"/>
        <v>0</v>
      </c>
      <c r="F19" s="1">
        <f t="shared" si="2"/>
        <v>1</v>
      </c>
      <c r="G19">
        <v>18</v>
      </c>
      <c r="H19">
        <v>9.3070001602172852</v>
      </c>
      <c r="I19" s="3">
        <f t="shared" si="3"/>
        <v>0</v>
      </c>
      <c r="J19" s="1">
        <f t="shared" si="4"/>
        <v>1</v>
      </c>
      <c r="K19" s="18">
        <v>18</v>
      </c>
      <c r="L19" s="18">
        <v>9.2220001220703125</v>
      </c>
      <c r="M19" s="3">
        <f t="shared" si="5"/>
        <v>0</v>
      </c>
      <c r="N19" s="1">
        <f t="shared" si="6"/>
        <v>1</v>
      </c>
      <c r="P19" s="9"/>
      <c r="Q19" s="2"/>
      <c r="S19" s="2">
        <f t="shared" si="7"/>
        <v>18</v>
      </c>
    </row>
    <row r="20" spans="2:19" ht="16" x14ac:dyDescent="0.2">
      <c r="B20" s="18" t="s">
        <v>17</v>
      </c>
      <c r="C20" s="18">
        <v>3</v>
      </c>
      <c r="D20" s="18">
        <v>31.017000198364258</v>
      </c>
      <c r="E20" s="3">
        <f t="shared" si="1"/>
        <v>0</v>
      </c>
      <c r="F20" s="1">
        <f t="shared" si="2"/>
        <v>1</v>
      </c>
      <c r="G20">
        <v>3</v>
      </c>
      <c r="H20">
        <v>13.274999618530273</v>
      </c>
      <c r="I20" s="3">
        <f t="shared" si="3"/>
        <v>0</v>
      </c>
      <c r="J20" s="1">
        <f t="shared" si="4"/>
        <v>1</v>
      </c>
      <c r="K20" s="18">
        <v>3</v>
      </c>
      <c r="L20" s="18">
        <v>12.699000358581543</v>
      </c>
      <c r="M20" s="3">
        <f t="shared" si="5"/>
        <v>0</v>
      </c>
      <c r="N20" s="1">
        <f t="shared" si="6"/>
        <v>1</v>
      </c>
      <c r="P20" s="9"/>
      <c r="Q20" s="2"/>
      <c r="S20" s="2">
        <f t="shared" si="7"/>
        <v>3</v>
      </c>
    </row>
    <row r="21" spans="2:19" ht="16" x14ac:dyDescent="0.2">
      <c r="B21" s="18" t="s">
        <v>18</v>
      </c>
      <c r="C21" s="18">
        <v>59</v>
      </c>
      <c r="D21" s="18">
        <v>0.34900000691413879</v>
      </c>
      <c r="E21" s="3">
        <f t="shared" si="1"/>
        <v>0</v>
      </c>
      <c r="F21" s="1">
        <f t="shared" si="2"/>
        <v>1</v>
      </c>
      <c r="G21">
        <v>59</v>
      </c>
      <c r="H21">
        <v>0.1809999942779541</v>
      </c>
      <c r="I21" s="3">
        <f t="shared" si="3"/>
        <v>0</v>
      </c>
      <c r="J21" s="1">
        <f t="shared" si="4"/>
        <v>1</v>
      </c>
      <c r="K21" s="18">
        <v>59</v>
      </c>
      <c r="L21" s="18">
        <v>0.17399999499320984</v>
      </c>
      <c r="M21" s="3">
        <f t="shared" si="5"/>
        <v>0</v>
      </c>
      <c r="N21" s="1">
        <f t="shared" si="6"/>
        <v>1</v>
      </c>
      <c r="P21" s="9"/>
      <c r="Q21" s="2"/>
      <c r="S21" s="2">
        <f t="shared" si="7"/>
        <v>59</v>
      </c>
    </row>
    <row r="22" spans="2:19" ht="16" x14ac:dyDescent="0.2">
      <c r="B22" s="18" t="s">
        <v>19</v>
      </c>
      <c r="C22" s="18">
        <v>356</v>
      </c>
      <c r="D22" s="18">
        <v>1.9939999580383301</v>
      </c>
      <c r="E22" s="3">
        <f t="shared" si="1"/>
        <v>9.8765432098765427E-2</v>
      </c>
      <c r="F22" s="1">
        <f t="shared" si="2"/>
        <v>0</v>
      </c>
      <c r="G22">
        <v>341</v>
      </c>
      <c r="H22">
        <v>2.0859999656677246</v>
      </c>
      <c r="I22" s="3">
        <f t="shared" si="3"/>
        <v>5.2469135802469133E-2</v>
      </c>
      <c r="J22" s="1">
        <f t="shared" si="4"/>
        <v>0</v>
      </c>
      <c r="K22" s="18">
        <v>324</v>
      </c>
      <c r="L22" s="18">
        <v>1.809999942779541</v>
      </c>
      <c r="M22" s="3">
        <f t="shared" si="5"/>
        <v>0</v>
      </c>
      <c r="N22" s="1">
        <f t="shared" si="6"/>
        <v>1</v>
      </c>
      <c r="P22" s="9"/>
      <c r="Q22" s="2"/>
      <c r="S22" s="2">
        <f t="shared" si="7"/>
        <v>324</v>
      </c>
    </row>
    <row r="23" spans="2:19" ht="16" x14ac:dyDescent="0.2">
      <c r="B23" s="18" t="s">
        <v>20</v>
      </c>
      <c r="C23" s="18">
        <v>569</v>
      </c>
      <c r="D23" s="18">
        <v>20.204999923706055</v>
      </c>
      <c r="E23" s="3">
        <f t="shared" si="1"/>
        <v>8.17490494296578E-2</v>
      </c>
      <c r="F23" s="1">
        <f t="shared" si="2"/>
        <v>0</v>
      </c>
      <c r="G23">
        <v>526</v>
      </c>
      <c r="H23">
        <v>20.791000366210938</v>
      </c>
      <c r="I23" s="3">
        <f t="shared" si="3"/>
        <v>0</v>
      </c>
      <c r="J23" s="1">
        <f t="shared" si="4"/>
        <v>1</v>
      </c>
      <c r="K23" s="18">
        <v>526</v>
      </c>
      <c r="L23" s="18">
        <v>21.643999099731445</v>
      </c>
      <c r="M23" s="3">
        <f t="shared" si="5"/>
        <v>0</v>
      </c>
      <c r="N23" s="1">
        <f t="shared" si="6"/>
        <v>1</v>
      </c>
      <c r="P23" s="9"/>
      <c r="Q23" s="2"/>
      <c r="S23" s="2">
        <f t="shared" si="7"/>
        <v>526</v>
      </c>
    </row>
    <row r="24" spans="2:19" ht="16" x14ac:dyDescent="0.2">
      <c r="B24" s="18" t="s">
        <v>21</v>
      </c>
      <c r="C24" s="18">
        <v>104</v>
      </c>
      <c r="D24" s="18">
        <v>42.444000244140625</v>
      </c>
      <c r="E24" s="3">
        <f t="shared" si="1"/>
        <v>1.9607843137254902E-2</v>
      </c>
      <c r="F24" s="1">
        <f t="shared" si="2"/>
        <v>0</v>
      </c>
      <c r="G24">
        <v>108</v>
      </c>
      <c r="H24">
        <v>17.527999877929688</v>
      </c>
      <c r="I24" s="3">
        <f t="shared" si="3"/>
        <v>5.8823529411764705E-2</v>
      </c>
      <c r="J24" s="1">
        <f t="shared" si="4"/>
        <v>0</v>
      </c>
      <c r="K24" s="18">
        <v>102</v>
      </c>
      <c r="L24" s="18">
        <v>34.847000122070312</v>
      </c>
      <c r="M24" s="3">
        <f t="shared" si="5"/>
        <v>0</v>
      </c>
      <c r="N24" s="1">
        <f t="shared" si="6"/>
        <v>1</v>
      </c>
      <c r="P24" s="9"/>
      <c r="Q24" s="2"/>
      <c r="S24" s="2">
        <f t="shared" si="7"/>
        <v>102</v>
      </c>
    </row>
    <row r="25" spans="2:19" ht="16" x14ac:dyDescent="0.2">
      <c r="B25" s="18" t="s">
        <v>22</v>
      </c>
      <c r="C25" s="18">
        <v>19</v>
      </c>
      <c r="D25" s="18">
        <v>9.9999997764825821E-3</v>
      </c>
      <c r="E25" s="3">
        <f t="shared" si="1"/>
        <v>0</v>
      </c>
      <c r="F25" s="1">
        <f t="shared" si="2"/>
        <v>1</v>
      </c>
      <c r="G25">
        <v>19</v>
      </c>
      <c r="H25">
        <v>6.0000000521540642E-3</v>
      </c>
      <c r="I25" s="3">
        <f t="shared" si="3"/>
        <v>0</v>
      </c>
      <c r="J25" s="1">
        <f t="shared" si="4"/>
        <v>1</v>
      </c>
      <c r="K25" s="18">
        <v>19</v>
      </c>
      <c r="L25" s="18">
        <v>6.0000000521540642E-3</v>
      </c>
      <c r="M25" s="3">
        <f t="shared" si="5"/>
        <v>0</v>
      </c>
      <c r="N25" s="1">
        <f t="shared" si="6"/>
        <v>1</v>
      </c>
      <c r="P25" s="9"/>
      <c r="Q25" s="2"/>
      <c r="S25" s="2">
        <f t="shared" si="7"/>
        <v>19</v>
      </c>
    </row>
    <row r="26" spans="2:19" ht="16" x14ac:dyDescent="0.2">
      <c r="B26" s="18" t="s">
        <v>23</v>
      </c>
      <c r="C26" s="18">
        <v>39</v>
      </c>
      <c r="D26" s="18">
        <v>4.8680000305175781</v>
      </c>
      <c r="E26" s="3">
        <f t="shared" si="1"/>
        <v>0</v>
      </c>
      <c r="F26" s="1">
        <f t="shared" si="2"/>
        <v>1</v>
      </c>
      <c r="G26">
        <v>39</v>
      </c>
      <c r="H26">
        <v>2.6540000438690186</v>
      </c>
      <c r="I26" s="3">
        <f t="shared" si="3"/>
        <v>0</v>
      </c>
      <c r="J26" s="1">
        <f t="shared" si="4"/>
        <v>1</v>
      </c>
      <c r="K26" s="18">
        <v>39</v>
      </c>
      <c r="L26" s="18">
        <v>2.6689999103546143</v>
      </c>
      <c r="M26" s="3">
        <f t="shared" si="5"/>
        <v>0</v>
      </c>
      <c r="N26" s="1">
        <f t="shared" si="6"/>
        <v>1</v>
      </c>
      <c r="P26" s="9"/>
      <c r="Q26" s="2"/>
      <c r="S26" s="2">
        <f t="shared" si="7"/>
        <v>39</v>
      </c>
    </row>
    <row r="27" spans="2:19" ht="16" x14ac:dyDescent="0.2">
      <c r="B27" s="18" t="s">
        <v>24</v>
      </c>
      <c r="C27" s="18">
        <v>193</v>
      </c>
      <c r="D27" s="18">
        <v>1.8980000019073486</v>
      </c>
      <c r="E27" s="3">
        <f t="shared" si="1"/>
        <v>5.208333333333333E-3</v>
      </c>
      <c r="F27" s="1">
        <f t="shared" si="2"/>
        <v>0</v>
      </c>
      <c r="G27">
        <v>193</v>
      </c>
      <c r="H27">
        <v>1.1039999723434448</v>
      </c>
      <c r="I27" s="3">
        <f t="shared" si="3"/>
        <v>5.208333333333333E-3</v>
      </c>
      <c r="J27" s="1">
        <f t="shared" si="4"/>
        <v>0</v>
      </c>
      <c r="K27" s="18">
        <v>192</v>
      </c>
      <c r="L27" s="18">
        <v>1.0410000085830688</v>
      </c>
      <c r="M27" s="3">
        <f t="shared" si="5"/>
        <v>0</v>
      </c>
      <c r="N27" s="1">
        <f t="shared" si="6"/>
        <v>1</v>
      </c>
      <c r="P27" s="9"/>
      <c r="Q27" s="2"/>
      <c r="S27" s="2">
        <f t="shared" si="7"/>
        <v>192</v>
      </c>
    </row>
    <row r="28" spans="2:19" ht="16" x14ac:dyDescent="0.2">
      <c r="B28" s="18" t="s">
        <v>25</v>
      </c>
      <c r="C28" s="18">
        <v>533</v>
      </c>
      <c r="D28" s="18">
        <v>2.7360000610351562</v>
      </c>
      <c r="E28" s="3">
        <f t="shared" si="1"/>
        <v>5.33596837944664E-2</v>
      </c>
      <c r="F28" s="1">
        <f t="shared" si="2"/>
        <v>0</v>
      </c>
      <c r="G28">
        <v>516</v>
      </c>
      <c r="H28">
        <v>2.4340000152587891</v>
      </c>
      <c r="I28" s="3">
        <f t="shared" si="3"/>
        <v>1.9762845849802372E-2</v>
      </c>
      <c r="J28" s="1">
        <f t="shared" si="4"/>
        <v>0</v>
      </c>
      <c r="K28" s="18">
        <v>506</v>
      </c>
      <c r="L28" s="18">
        <v>3.9879999160766602</v>
      </c>
      <c r="M28" s="3">
        <f t="shared" si="5"/>
        <v>0</v>
      </c>
      <c r="N28" s="1">
        <f t="shared" si="6"/>
        <v>1</v>
      </c>
      <c r="P28" s="9"/>
      <c r="Q28" s="2"/>
      <c r="S28" s="2">
        <f t="shared" si="7"/>
        <v>506</v>
      </c>
    </row>
    <row r="29" spans="2:19" ht="16" x14ac:dyDescent="0.2">
      <c r="B29" s="1" t="s">
        <v>26</v>
      </c>
      <c r="C29" s="18">
        <v>94</v>
      </c>
      <c r="D29" s="18">
        <v>0.23899999260902405</v>
      </c>
      <c r="E29" s="3">
        <f t="shared" si="1"/>
        <v>0</v>
      </c>
      <c r="F29" s="1">
        <f t="shared" si="2"/>
        <v>1</v>
      </c>
      <c r="G29">
        <v>94</v>
      </c>
      <c r="H29">
        <v>8.7999999523162842E-2</v>
      </c>
      <c r="I29" s="3">
        <f t="shared" si="3"/>
        <v>0</v>
      </c>
      <c r="J29" s="1">
        <f t="shared" si="4"/>
        <v>1</v>
      </c>
      <c r="K29" s="18">
        <v>94</v>
      </c>
      <c r="L29" s="18">
        <v>8.7999999523162842E-2</v>
      </c>
      <c r="M29" s="3">
        <f t="shared" si="5"/>
        <v>0</v>
      </c>
      <c r="N29" s="1">
        <f t="shared" si="6"/>
        <v>1</v>
      </c>
      <c r="S29" s="2">
        <f t="shared" si="7"/>
        <v>94</v>
      </c>
    </row>
    <row r="30" spans="2:19" ht="16" x14ac:dyDescent="0.2">
      <c r="B30" s="18" t="s">
        <v>27</v>
      </c>
      <c r="C30" s="18">
        <v>139</v>
      </c>
      <c r="D30" s="18">
        <v>0.28700000047683716</v>
      </c>
      <c r="E30" s="3">
        <f t="shared" si="1"/>
        <v>2.9629629629629631E-2</v>
      </c>
      <c r="F30" s="1">
        <f t="shared" si="2"/>
        <v>0</v>
      </c>
      <c r="G30">
        <v>136</v>
      </c>
      <c r="H30">
        <v>0.2460000067949295</v>
      </c>
      <c r="I30" s="3">
        <f t="shared" si="3"/>
        <v>7.4074074074074077E-3</v>
      </c>
      <c r="J30" s="1">
        <f t="shared" si="4"/>
        <v>0</v>
      </c>
      <c r="K30" s="18">
        <v>135</v>
      </c>
      <c r="L30" s="18">
        <v>0.18600000441074371</v>
      </c>
      <c r="M30" s="3">
        <f t="shared" si="5"/>
        <v>0</v>
      </c>
      <c r="N30" s="1">
        <f t="shared" si="6"/>
        <v>1</v>
      </c>
      <c r="S30" s="2">
        <f t="shared" si="7"/>
        <v>135</v>
      </c>
    </row>
    <row r="31" spans="2:19" ht="16" x14ac:dyDescent="0.2">
      <c r="B31" s="18" t="s">
        <v>28</v>
      </c>
      <c r="C31" s="18">
        <v>35</v>
      </c>
      <c r="D31" s="18">
        <v>1.4759999513626099</v>
      </c>
      <c r="E31" s="3">
        <f t="shared" si="1"/>
        <v>0</v>
      </c>
      <c r="F31" s="1">
        <f t="shared" si="2"/>
        <v>1</v>
      </c>
      <c r="G31">
        <v>35</v>
      </c>
      <c r="H31">
        <v>0.74299997091293335</v>
      </c>
      <c r="I31" s="3">
        <f t="shared" si="3"/>
        <v>0</v>
      </c>
      <c r="J31" s="1">
        <f t="shared" si="4"/>
        <v>1</v>
      </c>
      <c r="K31" s="18">
        <v>35</v>
      </c>
      <c r="L31" s="18">
        <v>0.66100001335144043</v>
      </c>
      <c r="M31" s="3">
        <f t="shared" si="5"/>
        <v>0</v>
      </c>
      <c r="N31" s="1">
        <f t="shared" si="6"/>
        <v>1</v>
      </c>
      <c r="S31" s="2">
        <f t="shared" si="7"/>
        <v>35</v>
      </c>
    </row>
    <row r="32" spans="2:19" ht="16" x14ac:dyDescent="0.2">
      <c r="B32" s="18" t="s">
        <v>29</v>
      </c>
      <c r="C32" s="18">
        <v>61</v>
      </c>
      <c r="D32" s="18">
        <v>5.9999998658895493E-2</v>
      </c>
      <c r="E32" s="3">
        <f t="shared" si="1"/>
        <v>0</v>
      </c>
      <c r="F32" s="1">
        <f t="shared" si="2"/>
        <v>1</v>
      </c>
      <c r="G32">
        <v>61</v>
      </c>
      <c r="H32">
        <v>5.000000074505806E-2</v>
      </c>
      <c r="I32" s="3">
        <f t="shared" si="3"/>
        <v>0</v>
      </c>
      <c r="J32" s="1">
        <f t="shared" si="4"/>
        <v>1</v>
      </c>
      <c r="K32" s="18">
        <v>63</v>
      </c>
      <c r="L32" s="18">
        <v>3.9999999105930328E-2</v>
      </c>
      <c r="M32" s="3">
        <f t="shared" si="5"/>
        <v>3.2786885245901641E-2</v>
      </c>
      <c r="N32" s="1">
        <f t="shared" si="6"/>
        <v>0</v>
      </c>
      <c r="S32" s="2">
        <f t="shared" si="7"/>
        <v>61</v>
      </c>
    </row>
    <row r="33" spans="2:19" ht="16" x14ac:dyDescent="0.2">
      <c r="B33" s="18" t="s">
        <v>30</v>
      </c>
      <c r="C33" s="18">
        <v>11</v>
      </c>
      <c r="D33" s="18">
        <v>3.2000001519918442E-2</v>
      </c>
      <c r="E33" s="3">
        <f t="shared" si="1"/>
        <v>0</v>
      </c>
      <c r="F33" s="1">
        <f t="shared" si="2"/>
        <v>1</v>
      </c>
      <c r="G33">
        <v>11</v>
      </c>
      <c r="H33">
        <v>1.6000000759959221E-2</v>
      </c>
      <c r="I33" s="3">
        <f t="shared" si="3"/>
        <v>0</v>
      </c>
      <c r="J33" s="1">
        <f t="shared" si="4"/>
        <v>1</v>
      </c>
      <c r="K33" s="18">
        <v>11</v>
      </c>
      <c r="L33" s="18">
        <v>1.7000000923871994E-2</v>
      </c>
      <c r="M33" s="3">
        <f t="shared" si="5"/>
        <v>0</v>
      </c>
      <c r="N33" s="1">
        <f t="shared" si="6"/>
        <v>1</v>
      </c>
      <c r="S33" s="2">
        <f t="shared" si="7"/>
        <v>11</v>
      </c>
    </row>
    <row r="34" spans="2:19" ht="16" x14ac:dyDescent="0.2">
      <c r="B34" s="18" t="s">
        <v>32</v>
      </c>
      <c r="C34" s="18">
        <v>92</v>
      </c>
      <c r="D34" s="18">
        <v>0.28499999642372131</v>
      </c>
      <c r="E34" s="3">
        <f t="shared" si="1"/>
        <v>2.2222222222222223E-2</v>
      </c>
      <c r="F34" s="1">
        <f t="shared" si="2"/>
        <v>0</v>
      </c>
      <c r="G34">
        <v>90</v>
      </c>
      <c r="H34">
        <v>0.38100001215934753</v>
      </c>
      <c r="I34" s="3">
        <f t="shared" si="3"/>
        <v>0</v>
      </c>
      <c r="J34" s="1">
        <f t="shared" si="4"/>
        <v>1</v>
      </c>
      <c r="K34" s="18">
        <v>95</v>
      </c>
      <c r="L34" s="18">
        <v>0.17800000309944153</v>
      </c>
      <c r="M34" s="3">
        <f t="shared" si="5"/>
        <v>5.5555555555555552E-2</v>
      </c>
      <c r="N34" s="1">
        <f t="shared" si="6"/>
        <v>0</v>
      </c>
      <c r="S34" s="2">
        <f t="shared" si="7"/>
        <v>90</v>
      </c>
    </row>
  </sheetData>
  <mergeCells count="4">
    <mergeCell ref="C7:F7"/>
    <mergeCell ref="G7:J7"/>
    <mergeCell ref="K7:N7"/>
    <mergeCell ref="P7:Q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5B743-FFA0-1C4D-8449-C4DA02B5F2B6}">
  <dimension ref="B2:AC257"/>
  <sheetViews>
    <sheetView topLeftCell="C1" workbookViewId="0">
      <selection activeCell="L7" sqref="L7"/>
    </sheetView>
  </sheetViews>
  <sheetFormatPr baseColWidth="10" defaultRowHeight="15" x14ac:dyDescent="0.2"/>
  <cols>
    <col min="2" max="2" width="4.1640625" bestFit="1" customWidth="1"/>
    <col min="3" max="3" width="5.1640625" bestFit="1" customWidth="1"/>
    <col min="4" max="4" width="12.33203125" bestFit="1" customWidth="1"/>
    <col min="5" max="6" width="6.6640625" bestFit="1" customWidth="1"/>
    <col min="7" max="7" width="7.33203125" bestFit="1" customWidth="1"/>
    <col min="8" max="8" width="5.6640625" bestFit="1" customWidth="1"/>
    <col min="9" max="9" width="5.1640625" bestFit="1" customWidth="1"/>
    <col min="10" max="10" width="6.1640625" bestFit="1" customWidth="1"/>
    <col min="11" max="11" width="7.33203125" bestFit="1" customWidth="1"/>
    <col min="12" max="12" width="4.6640625" bestFit="1" customWidth="1"/>
    <col min="13" max="14" width="5.1640625" bestFit="1" customWidth="1"/>
    <col min="15" max="15" width="9.33203125" bestFit="1" customWidth="1"/>
    <col min="16" max="16" width="4.6640625" bestFit="1" customWidth="1"/>
    <col min="17" max="18" width="5.1640625" bestFit="1" customWidth="1"/>
    <col min="19" max="19" width="9.33203125" bestFit="1" customWidth="1"/>
    <col min="20" max="20" width="4.6640625" bestFit="1" customWidth="1"/>
    <col min="21" max="22" width="5.1640625" bestFit="1" customWidth="1"/>
    <col min="23" max="23" width="9.33203125" bestFit="1" customWidth="1"/>
    <col min="24" max="24" width="4.6640625" bestFit="1" customWidth="1"/>
    <col min="25" max="25" width="4.1640625" bestFit="1" customWidth="1"/>
  </cols>
  <sheetData>
    <row r="2" spans="2:29" ht="16" x14ac:dyDescent="0.2">
      <c r="D2" s="11" t="s">
        <v>33</v>
      </c>
      <c r="E2" s="11" t="s">
        <v>312</v>
      </c>
      <c r="F2" s="11" t="s">
        <v>0</v>
      </c>
      <c r="G2" s="11" t="s">
        <v>313</v>
      </c>
      <c r="H2" s="11" t="s">
        <v>4</v>
      </c>
    </row>
    <row r="3" spans="2:29" ht="16" x14ac:dyDescent="0.2">
      <c r="D3" s="10" t="str">
        <f>E9</f>
        <v>Gc</v>
      </c>
      <c r="E3" s="4">
        <f>AVERAGE(E11:E128)</f>
        <v>264.52136752136749</v>
      </c>
      <c r="F3" s="17">
        <f t="shared" ref="F3" si="0">AVERAGE(F11:F128)</f>
        <v>4.0170941680956347E-4</v>
      </c>
      <c r="G3" s="6">
        <f>AVERAGE(G11:G128)</f>
        <v>2.4172112819828805E-2</v>
      </c>
      <c r="H3" s="7">
        <f>SUM(H11:H128)</f>
        <v>64</v>
      </c>
    </row>
    <row r="4" spans="2:29" ht="16" x14ac:dyDescent="0.2">
      <c r="D4" s="10" t="str">
        <f>I9</f>
        <v>Gd</v>
      </c>
      <c r="E4" s="5">
        <f>AVERAGE(I11:I128)</f>
        <v>262.46153846153845</v>
      </c>
      <c r="F4" s="16">
        <f t="shared" ref="F4:G4" si="1">AVERAGE(J11:J128)</f>
        <v>6.5811967644362874E-4</v>
      </c>
      <c r="G4" s="8">
        <f t="shared" si="1"/>
        <v>1.6521810804817294E-2</v>
      </c>
      <c r="H4" s="14">
        <f>SUM(L11:L128)</f>
        <v>80</v>
      </c>
    </row>
    <row r="5" spans="2:29" ht="16" x14ac:dyDescent="0.2">
      <c r="D5" s="10" t="str">
        <f>M9</f>
        <v>Heuristic 1</v>
      </c>
      <c r="E5" s="4">
        <f>AVERAGE(M11:M128)</f>
        <v>408.64102564102564</v>
      </c>
      <c r="F5" s="15" t="s">
        <v>235</v>
      </c>
      <c r="G5" s="6">
        <f t="shared" ref="G5" si="2">AVERAGE(O11:O128)</f>
        <v>0.81049961843683516</v>
      </c>
      <c r="H5" s="7">
        <f>SUM(P11:P128)</f>
        <v>4</v>
      </c>
    </row>
    <row r="6" spans="2:29" ht="16" x14ac:dyDescent="0.2">
      <c r="D6" s="10" t="str">
        <f>Q9</f>
        <v>Heuristic 2</v>
      </c>
      <c r="E6" s="4">
        <f>AVERAGE(Q11:Q127)</f>
        <v>396.60683760683759</v>
      </c>
      <c r="F6" s="15" t="s">
        <v>235</v>
      </c>
      <c r="G6" s="6">
        <f>AVERAGE(S11:S128)</f>
        <v>0.79710159127470859</v>
      </c>
      <c r="H6" s="7">
        <f>SUM(T11:T128)</f>
        <v>2</v>
      </c>
    </row>
    <row r="7" spans="2:29" ht="16" x14ac:dyDescent="0.2">
      <c r="D7" s="10" t="str">
        <f>U9</f>
        <v>Heuristic 3</v>
      </c>
      <c r="E7" s="4">
        <f>AVERAGE(U11:U127)</f>
        <v>403.73504273504273</v>
      </c>
      <c r="F7" s="15" t="s">
        <v>235</v>
      </c>
      <c r="G7" s="6">
        <f t="shared" ref="G7" si="3">AVERAGE(W11:W128)</f>
        <v>0.67189666545639448</v>
      </c>
      <c r="H7" s="7">
        <f>SUM(X11:X128)</f>
        <v>6</v>
      </c>
    </row>
    <row r="9" spans="2:29" ht="18" x14ac:dyDescent="0.25">
      <c r="E9" s="41" t="s">
        <v>321</v>
      </c>
      <c r="F9" s="41"/>
      <c r="G9" s="41"/>
      <c r="H9" s="41"/>
      <c r="I9" s="41" t="s">
        <v>320</v>
      </c>
      <c r="J9" s="41"/>
      <c r="K9" s="41"/>
      <c r="L9" s="41"/>
      <c r="M9" s="45" t="s">
        <v>143</v>
      </c>
      <c r="N9" s="48"/>
      <c r="O9" s="48"/>
      <c r="P9" s="49"/>
      <c r="Q9" s="41" t="s">
        <v>142</v>
      </c>
      <c r="R9" s="41"/>
      <c r="S9" s="41"/>
      <c r="T9" s="45"/>
      <c r="U9" s="47" t="s">
        <v>144</v>
      </c>
      <c r="V9" s="47"/>
      <c r="W9" s="47"/>
      <c r="X9" s="47"/>
      <c r="Y9" s="40"/>
      <c r="Z9" s="40"/>
      <c r="AA9" s="30"/>
    </row>
    <row r="10" spans="2:29" ht="16" x14ac:dyDescent="0.2">
      <c r="B10" s="26" t="s">
        <v>140</v>
      </c>
      <c r="C10" s="26" t="s">
        <v>141</v>
      </c>
      <c r="D10" s="27" t="s">
        <v>5</v>
      </c>
      <c r="E10" s="27" t="s">
        <v>1</v>
      </c>
      <c r="F10" s="27" t="s">
        <v>0</v>
      </c>
      <c r="G10" s="27" t="s">
        <v>2</v>
      </c>
      <c r="H10" s="27" t="s">
        <v>3</v>
      </c>
      <c r="I10" s="27" t="s">
        <v>1</v>
      </c>
      <c r="J10" s="27" t="s">
        <v>0</v>
      </c>
      <c r="K10" s="27" t="s">
        <v>2</v>
      </c>
      <c r="L10" s="27" t="s">
        <v>3</v>
      </c>
      <c r="M10" s="27" t="s">
        <v>1</v>
      </c>
      <c r="N10" s="27" t="s">
        <v>0</v>
      </c>
      <c r="O10" s="27" t="s">
        <v>2</v>
      </c>
      <c r="P10" s="27" t="s">
        <v>3</v>
      </c>
      <c r="Q10" s="27" t="s">
        <v>1</v>
      </c>
      <c r="R10" s="27" t="s">
        <v>0</v>
      </c>
      <c r="S10" s="27" t="s">
        <v>2</v>
      </c>
      <c r="T10" s="32" t="s">
        <v>3</v>
      </c>
      <c r="U10" s="27" t="s">
        <v>1</v>
      </c>
      <c r="V10" s="27" t="s">
        <v>0</v>
      </c>
      <c r="W10" s="27" t="s">
        <v>2</v>
      </c>
      <c r="X10" s="27" t="s">
        <v>3</v>
      </c>
      <c r="Y10" s="2"/>
      <c r="Z10" s="2"/>
      <c r="AA10" s="2"/>
      <c r="AC10" s="2" t="s">
        <v>4</v>
      </c>
    </row>
    <row r="11" spans="2:29" ht="16" x14ac:dyDescent="0.2">
      <c r="B11" s="18">
        <v>199</v>
      </c>
      <c r="C11" s="18">
        <v>1278</v>
      </c>
      <c r="D11" s="19" t="s">
        <v>6</v>
      </c>
      <c r="E11" s="18">
        <v>618</v>
      </c>
      <c r="F11" s="18">
        <v>0</v>
      </c>
      <c r="G11" s="3">
        <f t="shared" ref="G11:G42" si="4">(E11-$AC11)/$AC11</f>
        <v>2.4875621890547265E-2</v>
      </c>
      <c r="H11" s="1">
        <f t="shared" ref="H11:H42" si="5">IF(E11=$AC11,1,0)</f>
        <v>0</v>
      </c>
      <c r="I11" s="18">
        <v>603</v>
      </c>
      <c r="J11" s="18">
        <v>2.0000000949949026E-3</v>
      </c>
      <c r="K11" s="3">
        <f t="shared" ref="K11:K42" si="6">(I11-$AC11)/$AC11</f>
        <v>0</v>
      </c>
      <c r="L11" s="1">
        <f t="shared" ref="L11:L42" si="7">IF(I11=$AC11,1,0)</f>
        <v>1</v>
      </c>
      <c r="M11" s="18">
        <v>833</v>
      </c>
      <c r="N11" s="18" t="s">
        <v>235</v>
      </c>
      <c r="O11" s="3">
        <f t="shared" ref="O11:O42" si="8">(M11-$AC11)/$AC11</f>
        <v>0.38142620232172469</v>
      </c>
      <c r="P11" s="1">
        <f t="shared" ref="P11:P36" si="9">IF(M11=$AC11,1,0)</f>
        <v>0</v>
      </c>
      <c r="Q11" s="18">
        <v>849</v>
      </c>
      <c r="R11" s="18" t="s">
        <v>235</v>
      </c>
      <c r="S11" s="3">
        <f t="shared" ref="S11:S42" si="10">(Q11-$AC11)/$AC11</f>
        <v>0.4079601990049751</v>
      </c>
      <c r="T11" s="31">
        <f t="shared" ref="T11:T36" si="11">IF(Q11=$AC11,1,0)</f>
        <v>0</v>
      </c>
      <c r="U11" s="18">
        <v>687</v>
      </c>
      <c r="V11" s="18" t="s">
        <v>235</v>
      </c>
      <c r="W11" s="3">
        <f t="shared" ref="W11:W42" si="12">(U11-$AC11)/$AC11</f>
        <v>0.13930348258706468</v>
      </c>
      <c r="X11" s="1">
        <f t="shared" ref="X11:X42" si="13">IF(U11=$AC11,1,0)</f>
        <v>0</v>
      </c>
      <c r="AA11" s="2"/>
      <c r="AC11" s="2">
        <f t="shared" ref="AC11:AC42" si="14">MIN(E11,I11,M11,Q11,U11)</f>
        <v>603</v>
      </c>
    </row>
    <row r="12" spans="2:29" ht="16" x14ac:dyDescent="0.2">
      <c r="B12" s="18">
        <v>58</v>
      </c>
      <c r="C12" s="18">
        <v>4625</v>
      </c>
      <c r="D12" s="19" t="s">
        <v>145</v>
      </c>
      <c r="E12" s="18">
        <v>790</v>
      </c>
      <c r="F12" s="18">
        <v>2.0000000949949026E-3</v>
      </c>
      <c r="G12" s="3">
        <f t="shared" si="4"/>
        <v>0</v>
      </c>
      <c r="H12" s="1">
        <f t="shared" si="5"/>
        <v>1</v>
      </c>
      <c r="I12" s="18">
        <v>790</v>
      </c>
      <c r="J12" s="18">
        <v>3.0000000260770321E-3</v>
      </c>
      <c r="K12" s="3">
        <f t="shared" si="6"/>
        <v>0</v>
      </c>
      <c r="L12" s="1">
        <f t="shared" si="7"/>
        <v>1</v>
      </c>
      <c r="M12" s="18">
        <v>2879</v>
      </c>
      <c r="N12" s="18" t="s">
        <v>235</v>
      </c>
      <c r="O12" s="3">
        <f t="shared" si="8"/>
        <v>2.6443037974683543</v>
      </c>
      <c r="P12" s="1">
        <f t="shared" si="9"/>
        <v>0</v>
      </c>
      <c r="Q12" s="18">
        <v>2877</v>
      </c>
      <c r="R12" s="18" t="s">
        <v>235</v>
      </c>
      <c r="S12" s="3">
        <f t="shared" si="10"/>
        <v>2.641772151898734</v>
      </c>
      <c r="T12" s="31">
        <f t="shared" si="11"/>
        <v>0</v>
      </c>
      <c r="U12" s="18">
        <v>2757</v>
      </c>
      <c r="V12" s="18" t="s">
        <v>235</v>
      </c>
      <c r="W12" s="3">
        <f t="shared" si="12"/>
        <v>2.4898734177215189</v>
      </c>
      <c r="X12" s="1">
        <f t="shared" si="13"/>
        <v>0</v>
      </c>
      <c r="AA12" s="2"/>
      <c r="AC12" s="2">
        <f t="shared" si="14"/>
        <v>790</v>
      </c>
    </row>
    <row r="13" spans="2:29" ht="16" x14ac:dyDescent="0.2">
      <c r="B13" s="18">
        <v>55</v>
      </c>
      <c r="C13" s="18">
        <v>370</v>
      </c>
      <c r="D13" s="19" t="s">
        <v>146</v>
      </c>
      <c r="E13" s="18">
        <v>139</v>
      </c>
      <c r="F13" s="18">
        <v>0</v>
      </c>
      <c r="G13" s="3">
        <f t="shared" si="4"/>
        <v>0</v>
      </c>
      <c r="H13" s="1">
        <f t="shared" si="5"/>
        <v>1</v>
      </c>
      <c r="I13" s="18">
        <v>144</v>
      </c>
      <c r="J13" s="18">
        <v>0</v>
      </c>
      <c r="K13" s="3">
        <f t="shared" si="6"/>
        <v>3.5971223021582732E-2</v>
      </c>
      <c r="L13" s="1">
        <f t="shared" si="7"/>
        <v>0</v>
      </c>
      <c r="M13" s="18">
        <v>239</v>
      </c>
      <c r="N13" s="18" t="s">
        <v>235</v>
      </c>
      <c r="O13" s="3">
        <f t="shared" si="8"/>
        <v>0.71942446043165464</v>
      </c>
      <c r="P13" s="1">
        <f t="shared" si="9"/>
        <v>0</v>
      </c>
      <c r="Q13" s="18">
        <v>243</v>
      </c>
      <c r="R13" s="18" t="s">
        <v>235</v>
      </c>
      <c r="S13" s="3">
        <f t="shared" si="10"/>
        <v>0.74820143884892087</v>
      </c>
      <c r="T13" s="31">
        <f t="shared" si="11"/>
        <v>0</v>
      </c>
      <c r="U13" s="18">
        <v>264</v>
      </c>
      <c r="V13" s="18" t="s">
        <v>235</v>
      </c>
      <c r="W13" s="3">
        <f t="shared" si="12"/>
        <v>0.89928057553956831</v>
      </c>
      <c r="X13" s="1">
        <f t="shared" si="13"/>
        <v>0</v>
      </c>
      <c r="AA13" s="2"/>
      <c r="AC13" s="2">
        <f t="shared" si="14"/>
        <v>139</v>
      </c>
    </row>
    <row r="14" spans="2:29" ht="16" x14ac:dyDescent="0.2">
      <c r="B14" s="18">
        <v>63</v>
      </c>
      <c r="C14" s="18">
        <v>433</v>
      </c>
      <c r="D14" s="19" t="s">
        <v>147</v>
      </c>
      <c r="E14" s="18">
        <v>156</v>
      </c>
      <c r="F14" s="18">
        <v>0</v>
      </c>
      <c r="G14" s="3">
        <f t="shared" si="4"/>
        <v>0</v>
      </c>
      <c r="H14" s="1">
        <f t="shared" si="5"/>
        <v>1</v>
      </c>
      <c r="I14" s="18">
        <v>156</v>
      </c>
      <c r="J14" s="18">
        <v>0</v>
      </c>
      <c r="K14" s="3">
        <f t="shared" si="6"/>
        <v>0</v>
      </c>
      <c r="L14" s="1">
        <f t="shared" si="7"/>
        <v>1</v>
      </c>
      <c r="M14" s="18">
        <v>171</v>
      </c>
      <c r="N14" s="18" t="s">
        <v>235</v>
      </c>
      <c r="O14" s="3">
        <f t="shared" si="8"/>
        <v>9.6153846153846159E-2</v>
      </c>
      <c r="P14" s="1">
        <f t="shared" si="9"/>
        <v>0</v>
      </c>
      <c r="Q14" s="18">
        <v>171</v>
      </c>
      <c r="R14" s="18" t="s">
        <v>235</v>
      </c>
      <c r="S14" s="3">
        <f t="shared" si="10"/>
        <v>9.6153846153846159E-2</v>
      </c>
      <c r="T14" s="31">
        <f t="shared" si="11"/>
        <v>0</v>
      </c>
      <c r="U14" s="18">
        <v>165</v>
      </c>
      <c r="V14" s="18" t="s">
        <v>235</v>
      </c>
      <c r="W14" s="3">
        <f t="shared" si="12"/>
        <v>5.7692307692307696E-2</v>
      </c>
      <c r="X14" s="1">
        <f t="shared" si="13"/>
        <v>0</v>
      </c>
      <c r="AA14" s="2"/>
      <c r="AC14" s="2">
        <f t="shared" si="14"/>
        <v>156</v>
      </c>
    </row>
    <row r="15" spans="2:29" ht="16" x14ac:dyDescent="0.2">
      <c r="B15" s="18">
        <v>67</v>
      </c>
      <c r="C15" s="18">
        <v>560</v>
      </c>
      <c r="D15" s="19" t="s">
        <v>7</v>
      </c>
      <c r="E15" s="18">
        <v>199</v>
      </c>
      <c r="F15" s="18">
        <v>0</v>
      </c>
      <c r="G15" s="3">
        <f t="shared" si="4"/>
        <v>1.015228426395939E-2</v>
      </c>
      <c r="H15" s="1">
        <f t="shared" si="5"/>
        <v>0</v>
      </c>
      <c r="I15" s="18">
        <v>197</v>
      </c>
      <c r="J15" s="18">
        <v>0</v>
      </c>
      <c r="K15" s="3">
        <f t="shared" si="6"/>
        <v>0</v>
      </c>
      <c r="L15" s="1">
        <f t="shared" si="7"/>
        <v>1</v>
      </c>
      <c r="M15" s="18">
        <v>428</v>
      </c>
      <c r="N15" s="18" t="s">
        <v>235</v>
      </c>
      <c r="O15" s="3">
        <f t="shared" si="8"/>
        <v>1.1725888324873097</v>
      </c>
      <c r="P15" s="1">
        <f t="shared" si="9"/>
        <v>0</v>
      </c>
      <c r="Q15" s="18">
        <v>396</v>
      </c>
      <c r="R15" s="18" t="s">
        <v>235</v>
      </c>
      <c r="S15" s="3">
        <f t="shared" si="10"/>
        <v>1.0101522842639594</v>
      </c>
      <c r="T15" s="31">
        <f t="shared" si="11"/>
        <v>0</v>
      </c>
      <c r="U15" s="18">
        <v>417</v>
      </c>
      <c r="V15" s="18" t="s">
        <v>235</v>
      </c>
      <c r="W15" s="3">
        <f t="shared" si="12"/>
        <v>1.116751269035533</v>
      </c>
      <c r="X15" s="1">
        <f t="shared" si="13"/>
        <v>0</v>
      </c>
      <c r="AA15" s="2"/>
      <c r="AC15" s="2">
        <f t="shared" si="14"/>
        <v>197</v>
      </c>
    </row>
    <row r="16" spans="2:29" ht="16" x14ac:dyDescent="0.2">
      <c r="B16" s="18">
        <v>122</v>
      </c>
      <c r="C16" s="18">
        <v>1029</v>
      </c>
      <c r="D16" s="19" t="s">
        <v>148</v>
      </c>
      <c r="E16" s="18">
        <v>349</v>
      </c>
      <c r="F16" s="18">
        <v>1.0000000474974513E-3</v>
      </c>
      <c r="G16" s="3">
        <f t="shared" si="4"/>
        <v>2.8735632183908046E-3</v>
      </c>
      <c r="H16" s="1">
        <f t="shared" si="5"/>
        <v>0</v>
      </c>
      <c r="I16" s="18">
        <v>348</v>
      </c>
      <c r="J16" s="18">
        <v>1.0000000474974513E-3</v>
      </c>
      <c r="K16" s="3">
        <f t="shared" si="6"/>
        <v>0</v>
      </c>
      <c r="L16" s="1">
        <f t="shared" si="7"/>
        <v>1</v>
      </c>
      <c r="M16" s="18">
        <v>875</v>
      </c>
      <c r="N16" s="18" t="s">
        <v>235</v>
      </c>
      <c r="O16" s="3">
        <f t="shared" si="8"/>
        <v>1.514367816091954</v>
      </c>
      <c r="P16" s="1">
        <f t="shared" si="9"/>
        <v>0</v>
      </c>
      <c r="Q16" s="18">
        <v>849</v>
      </c>
      <c r="R16" s="18" t="s">
        <v>235</v>
      </c>
      <c r="S16" s="3">
        <f t="shared" si="10"/>
        <v>1.4396551724137931</v>
      </c>
      <c r="T16" s="31">
        <f t="shared" si="11"/>
        <v>0</v>
      </c>
      <c r="U16" s="18">
        <v>495</v>
      </c>
      <c r="V16" s="18" t="s">
        <v>235</v>
      </c>
      <c r="W16" s="3">
        <f t="shared" si="12"/>
        <v>0.42241379310344829</v>
      </c>
      <c r="X16" s="1">
        <f t="shared" si="13"/>
        <v>0</v>
      </c>
      <c r="AA16" s="2"/>
      <c r="AC16" s="2">
        <f t="shared" si="14"/>
        <v>348</v>
      </c>
    </row>
    <row r="17" spans="2:29" ht="16" x14ac:dyDescent="0.2">
      <c r="B17" s="18">
        <v>26</v>
      </c>
      <c r="C17" s="18">
        <v>143</v>
      </c>
      <c r="D17" s="19" t="s">
        <v>149</v>
      </c>
      <c r="E17" s="18">
        <v>54</v>
      </c>
      <c r="F17" s="18">
        <v>0</v>
      </c>
      <c r="G17" s="3">
        <f t="shared" si="4"/>
        <v>1.8867924528301886E-2</v>
      </c>
      <c r="H17" s="1">
        <f t="shared" si="5"/>
        <v>0</v>
      </c>
      <c r="I17" s="18">
        <v>53</v>
      </c>
      <c r="J17" s="18">
        <v>0</v>
      </c>
      <c r="K17" s="3">
        <f t="shared" si="6"/>
        <v>0</v>
      </c>
      <c r="L17" s="1">
        <f t="shared" si="7"/>
        <v>1</v>
      </c>
      <c r="M17" s="18">
        <v>56</v>
      </c>
      <c r="N17" s="18" t="s">
        <v>235</v>
      </c>
      <c r="O17" s="3">
        <f t="shared" si="8"/>
        <v>5.6603773584905662E-2</v>
      </c>
      <c r="P17" s="1">
        <f t="shared" si="9"/>
        <v>0</v>
      </c>
      <c r="Q17" s="18">
        <v>57</v>
      </c>
      <c r="R17" s="18" t="s">
        <v>235</v>
      </c>
      <c r="S17" s="3">
        <f t="shared" si="10"/>
        <v>7.5471698113207544E-2</v>
      </c>
      <c r="T17" s="31">
        <f t="shared" si="11"/>
        <v>0</v>
      </c>
      <c r="U17" s="18">
        <v>69</v>
      </c>
      <c r="V17" s="18" t="s">
        <v>235</v>
      </c>
      <c r="W17" s="3">
        <f t="shared" si="12"/>
        <v>0.30188679245283018</v>
      </c>
      <c r="X17" s="1">
        <f t="shared" si="13"/>
        <v>0</v>
      </c>
      <c r="AA17" s="2"/>
      <c r="AC17" s="2">
        <f t="shared" si="14"/>
        <v>53</v>
      </c>
    </row>
    <row r="18" spans="2:29" ht="16" x14ac:dyDescent="0.2">
      <c r="B18" s="18">
        <v>180</v>
      </c>
      <c r="C18" s="18">
        <v>1622</v>
      </c>
      <c r="D18" s="19" t="s">
        <v>150</v>
      </c>
      <c r="E18" s="18">
        <v>527</v>
      </c>
      <c r="F18" s="18">
        <v>0</v>
      </c>
      <c r="G18" s="3">
        <f t="shared" si="4"/>
        <v>0</v>
      </c>
      <c r="H18" s="1">
        <f t="shared" si="5"/>
        <v>1</v>
      </c>
      <c r="I18" s="18">
        <v>531</v>
      </c>
      <c r="J18" s="18">
        <v>1.0000000474974513E-3</v>
      </c>
      <c r="K18" s="3">
        <f t="shared" si="6"/>
        <v>7.5901328273244783E-3</v>
      </c>
      <c r="L18" s="1">
        <f t="shared" si="7"/>
        <v>0</v>
      </c>
      <c r="M18" s="18">
        <v>1409</v>
      </c>
      <c r="N18" s="18" t="s">
        <v>235</v>
      </c>
      <c r="O18" s="3">
        <f t="shared" si="8"/>
        <v>1.6736242884250474</v>
      </c>
      <c r="P18" s="1">
        <f t="shared" si="9"/>
        <v>0</v>
      </c>
      <c r="Q18" s="18">
        <v>1428</v>
      </c>
      <c r="R18" s="18" t="s">
        <v>235</v>
      </c>
      <c r="S18" s="3">
        <f t="shared" si="10"/>
        <v>1.7096774193548387</v>
      </c>
      <c r="T18" s="31">
        <f t="shared" si="11"/>
        <v>0</v>
      </c>
      <c r="U18" s="18">
        <v>690</v>
      </c>
      <c r="V18" s="18" t="s">
        <v>235</v>
      </c>
      <c r="W18" s="3">
        <f t="shared" si="12"/>
        <v>0.30929791271347251</v>
      </c>
      <c r="X18" s="1">
        <f t="shared" si="13"/>
        <v>0</v>
      </c>
      <c r="AA18" s="2"/>
      <c r="AC18" s="2">
        <f t="shared" si="14"/>
        <v>527</v>
      </c>
    </row>
    <row r="19" spans="2:29" ht="16" x14ac:dyDescent="0.2">
      <c r="B19" s="18">
        <v>20</v>
      </c>
      <c r="C19" s="18">
        <v>75</v>
      </c>
      <c r="D19" s="19" t="s">
        <v>151</v>
      </c>
      <c r="E19" s="18">
        <v>40</v>
      </c>
      <c r="F19" s="18">
        <v>0</v>
      </c>
      <c r="G19" s="3">
        <f t="shared" si="4"/>
        <v>2.564102564102564E-2</v>
      </c>
      <c r="H19" s="1">
        <f t="shared" si="5"/>
        <v>0</v>
      </c>
      <c r="I19" s="18">
        <v>39</v>
      </c>
      <c r="J19" s="18">
        <v>0</v>
      </c>
      <c r="K19" s="3">
        <f t="shared" si="6"/>
        <v>0</v>
      </c>
      <c r="L19" s="1">
        <f t="shared" si="7"/>
        <v>1</v>
      </c>
      <c r="M19" s="18">
        <v>44</v>
      </c>
      <c r="N19" s="18" t="s">
        <v>235</v>
      </c>
      <c r="O19" s="3">
        <f t="shared" si="8"/>
        <v>0.12820512820512819</v>
      </c>
      <c r="P19" s="1">
        <f t="shared" si="9"/>
        <v>0</v>
      </c>
      <c r="Q19" s="18">
        <v>42</v>
      </c>
      <c r="R19" s="18" t="s">
        <v>235</v>
      </c>
      <c r="S19" s="3">
        <f t="shared" si="10"/>
        <v>7.6923076923076927E-2</v>
      </c>
      <c r="T19" s="31">
        <f t="shared" si="11"/>
        <v>0</v>
      </c>
      <c r="U19" s="18">
        <v>45</v>
      </c>
      <c r="V19" s="18" t="s">
        <v>235</v>
      </c>
      <c r="W19" s="3">
        <f t="shared" si="12"/>
        <v>0.15384615384615385</v>
      </c>
      <c r="X19" s="1">
        <f t="shared" si="13"/>
        <v>0</v>
      </c>
      <c r="AA19" s="2"/>
      <c r="AC19" s="2">
        <f t="shared" si="14"/>
        <v>39</v>
      </c>
    </row>
    <row r="20" spans="2:29" ht="16" x14ac:dyDescent="0.2">
      <c r="B20" s="18">
        <v>21</v>
      </c>
      <c r="C20" s="18">
        <v>94</v>
      </c>
      <c r="D20" s="19" t="s">
        <v>152</v>
      </c>
      <c r="E20" s="18">
        <v>48</v>
      </c>
      <c r="F20" s="18">
        <v>0</v>
      </c>
      <c r="G20" s="3">
        <f t="shared" si="4"/>
        <v>0</v>
      </c>
      <c r="H20" s="1">
        <f t="shared" si="5"/>
        <v>1</v>
      </c>
      <c r="I20" s="18">
        <v>48</v>
      </c>
      <c r="J20" s="18">
        <v>0</v>
      </c>
      <c r="K20" s="3">
        <f t="shared" si="6"/>
        <v>0</v>
      </c>
      <c r="L20" s="1">
        <f t="shared" si="7"/>
        <v>1</v>
      </c>
      <c r="M20" s="18">
        <v>53</v>
      </c>
      <c r="N20" s="18" t="s">
        <v>235</v>
      </c>
      <c r="O20" s="3">
        <f t="shared" si="8"/>
        <v>0.10416666666666667</v>
      </c>
      <c r="P20" s="1">
        <f t="shared" si="9"/>
        <v>0</v>
      </c>
      <c r="Q20" s="18">
        <v>54</v>
      </c>
      <c r="R20" s="18" t="s">
        <v>235</v>
      </c>
      <c r="S20" s="3">
        <f t="shared" si="10"/>
        <v>0.125</v>
      </c>
      <c r="T20" s="31">
        <f t="shared" si="11"/>
        <v>0</v>
      </c>
      <c r="U20" s="18">
        <v>60</v>
      </c>
      <c r="V20" s="18" t="s">
        <v>235</v>
      </c>
      <c r="W20" s="3">
        <f t="shared" si="12"/>
        <v>0.25</v>
      </c>
      <c r="X20" s="1">
        <f t="shared" si="13"/>
        <v>0</v>
      </c>
      <c r="AA20" s="2"/>
      <c r="AC20" s="2">
        <f t="shared" si="14"/>
        <v>48</v>
      </c>
    </row>
    <row r="21" spans="2:29" ht="16" x14ac:dyDescent="0.2">
      <c r="B21" s="18">
        <v>36</v>
      </c>
      <c r="C21" s="18">
        <v>227</v>
      </c>
      <c r="D21" s="19" t="s">
        <v>153</v>
      </c>
      <c r="E21" s="18">
        <v>108</v>
      </c>
      <c r="F21" s="18">
        <v>0</v>
      </c>
      <c r="G21" s="3">
        <f t="shared" si="4"/>
        <v>0</v>
      </c>
      <c r="H21" s="1">
        <f t="shared" si="5"/>
        <v>1</v>
      </c>
      <c r="I21" s="18">
        <v>108</v>
      </c>
      <c r="J21" s="18">
        <v>0</v>
      </c>
      <c r="K21" s="3">
        <f t="shared" si="6"/>
        <v>0</v>
      </c>
      <c r="L21" s="1">
        <f t="shared" si="7"/>
        <v>1</v>
      </c>
      <c r="M21" s="18">
        <v>125</v>
      </c>
      <c r="N21" s="18" t="s">
        <v>235</v>
      </c>
      <c r="O21" s="3">
        <f t="shared" si="8"/>
        <v>0.15740740740740741</v>
      </c>
      <c r="P21" s="1">
        <f t="shared" si="9"/>
        <v>0</v>
      </c>
      <c r="Q21" s="18">
        <v>128</v>
      </c>
      <c r="R21" s="18" t="s">
        <v>235</v>
      </c>
      <c r="S21" s="3">
        <f t="shared" si="10"/>
        <v>0.18518518518518517</v>
      </c>
      <c r="T21" s="31">
        <f t="shared" si="11"/>
        <v>0</v>
      </c>
      <c r="U21" s="18">
        <v>123</v>
      </c>
      <c r="V21" s="18" t="s">
        <v>235</v>
      </c>
      <c r="W21" s="3">
        <f t="shared" si="12"/>
        <v>0.1388888888888889</v>
      </c>
      <c r="X21" s="1">
        <f t="shared" si="13"/>
        <v>0</v>
      </c>
      <c r="AA21" s="2"/>
      <c r="AC21" s="2">
        <f t="shared" si="14"/>
        <v>108</v>
      </c>
    </row>
    <row r="22" spans="2:29" ht="16" x14ac:dyDescent="0.2">
      <c r="B22" s="18">
        <v>52</v>
      </c>
      <c r="C22" s="18">
        <v>529</v>
      </c>
      <c r="D22" s="19" t="s">
        <v>8</v>
      </c>
      <c r="E22" s="18">
        <v>210</v>
      </c>
      <c r="F22" s="18">
        <v>0</v>
      </c>
      <c r="G22" s="3">
        <f t="shared" si="4"/>
        <v>9.6153846153846159E-3</v>
      </c>
      <c r="H22" s="1">
        <f t="shared" si="5"/>
        <v>0</v>
      </c>
      <c r="I22" s="18">
        <v>208</v>
      </c>
      <c r="J22" s="18">
        <v>0</v>
      </c>
      <c r="K22" s="3">
        <f t="shared" si="6"/>
        <v>0</v>
      </c>
      <c r="L22" s="1">
        <f t="shared" si="7"/>
        <v>1</v>
      </c>
      <c r="M22" s="18">
        <v>284</v>
      </c>
      <c r="N22" s="18" t="s">
        <v>235</v>
      </c>
      <c r="O22" s="3">
        <f t="shared" si="8"/>
        <v>0.36538461538461536</v>
      </c>
      <c r="P22" s="1">
        <f t="shared" si="9"/>
        <v>0</v>
      </c>
      <c r="Q22" s="18">
        <v>288</v>
      </c>
      <c r="R22" s="18" t="s">
        <v>235</v>
      </c>
      <c r="S22" s="3">
        <f t="shared" si="10"/>
        <v>0.38461538461538464</v>
      </c>
      <c r="T22" s="31">
        <f t="shared" si="11"/>
        <v>0</v>
      </c>
      <c r="U22" s="18">
        <v>270</v>
      </c>
      <c r="V22" s="18" t="s">
        <v>235</v>
      </c>
      <c r="W22" s="3">
        <f t="shared" si="12"/>
        <v>0.29807692307692307</v>
      </c>
      <c r="X22" s="1">
        <f t="shared" si="13"/>
        <v>0</v>
      </c>
      <c r="AA22" s="2"/>
      <c r="AC22" s="2">
        <f t="shared" si="14"/>
        <v>208</v>
      </c>
    </row>
    <row r="23" spans="2:29" ht="16" x14ac:dyDescent="0.2">
      <c r="B23" s="18">
        <v>133</v>
      </c>
      <c r="C23" s="18">
        <v>855</v>
      </c>
      <c r="D23" s="19" t="s">
        <v>154</v>
      </c>
      <c r="E23" s="18">
        <v>416</v>
      </c>
      <c r="F23" s="18">
        <v>0</v>
      </c>
      <c r="G23" s="3">
        <f t="shared" si="4"/>
        <v>0</v>
      </c>
      <c r="H23" s="1">
        <f t="shared" si="5"/>
        <v>1</v>
      </c>
      <c r="I23" s="18">
        <v>420</v>
      </c>
      <c r="J23" s="18">
        <v>1.0000000474974513E-3</v>
      </c>
      <c r="K23" s="3">
        <f t="shared" si="6"/>
        <v>9.6153846153846159E-3</v>
      </c>
      <c r="L23" s="1">
        <f t="shared" si="7"/>
        <v>0</v>
      </c>
      <c r="M23" s="18">
        <v>566</v>
      </c>
      <c r="N23" s="18" t="s">
        <v>235</v>
      </c>
      <c r="O23" s="3">
        <f t="shared" si="8"/>
        <v>0.36057692307692307</v>
      </c>
      <c r="P23" s="1">
        <f t="shared" si="9"/>
        <v>0</v>
      </c>
      <c r="Q23" s="18">
        <v>564</v>
      </c>
      <c r="R23" s="18" t="s">
        <v>235</v>
      </c>
      <c r="S23" s="3">
        <f t="shared" si="10"/>
        <v>0.35576923076923078</v>
      </c>
      <c r="T23" s="31">
        <f t="shared" si="11"/>
        <v>0</v>
      </c>
      <c r="U23" s="18">
        <v>480</v>
      </c>
      <c r="V23" s="18" t="s">
        <v>235</v>
      </c>
      <c r="W23" s="3">
        <f t="shared" si="12"/>
        <v>0.15384615384615385</v>
      </c>
      <c r="X23" s="1">
        <f t="shared" si="13"/>
        <v>0</v>
      </c>
      <c r="AA23" s="2"/>
      <c r="AC23" s="2">
        <f t="shared" si="14"/>
        <v>416</v>
      </c>
    </row>
    <row r="24" spans="2:29" ht="16" x14ac:dyDescent="0.2">
      <c r="B24" s="18">
        <v>336</v>
      </c>
      <c r="C24" s="18">
        <v>2808</v>
      </c>
      <c r="D24" s="19" t="s">
        <v>155</v>
      </c>
      <c r="E24" s="18">
        <v>1371</v>
      </c>
      <c r="F24" s="18">
        <v>0</v>
      </c>
      <c r="G24" s="3">
        <f t="shared" si="4"/>
        <v>6.6079295154185024E-3</v>
      </c>
      <c r="H24" s="1">
        <f t="shared" si="5"/>
        <v>0</v>
      </c>
      <c r="I24" s="18">
        <v>1362</v>
      </c>
      <c r="J24" s="18">
        <v>1.0000000474974513E-3</v>
      </c>
      <c r="K24" s="3">
        <f t="shared" si="6"/>
        <v>0</v>
      </c>
      <c r="L24" s="1">
        <f t="shared" si="7"/>
        <v>1</v>
      </c>
      <c r="M24" s="18">
        <v>1988</v>
      </c>
      <c r="N24" s="18" t="s">
        <v>235</v>
      </c>
      <c r="O24" s="3">
        <f t="shared" si="8"/>
        <v>0.45961820851688695</v>
      </c>
      <c r="P24" s="1">
        <f t="shared" si="9"/>
        <v>0</v>
      </c>
      <c r="Q24" s="18">
        <v>1980</v>
      </c>
      <c r="R24" s="18" t="s">
        <v>235</v>
      </c>
      <c r="S24" s="3">
        <f t="shared" si="10"/>
        <v>0.45374449339207046</v>
      </c>
      <c r="T24" s="31">
        <f t="shared" si="11"/>
        <v>0</v>
      </c>
      <c r="U24" s="18">
        <v>1650</v>
      </c>
      <c r="V24" s="18" t="s">
        <v>235</v>
      </c>
      <c r="W24" s="3">
        <f t="shared" si="12"/>
        <v>0.21145374449339208</v>
      </c>
      <c r="X24" s="1">
        <f t="shared" si="13"/>
        <v>0</v>
      </c>
      <c r="AA24" s="2"/>
      <c r="AC24" s="2">
        <f t="shared" si="14"/>
        <v>1362</v>
      </c>
    </row>
    <row r="25" spans="2:29" ht="16" x14ac:dyDescent="0.2">
      <c r="B25" s="18">
        <v>372</v>
      </c>
      <c r="C25" s="18">
        <v>3113</v>
      </c>
      <c r="D25" s="19" t="s">
        <v>156</v>
      </c>
      <c r="E25" s="18">
        <v>1519</v>
      </c>
      <c r="F25" s="18">
        <v>1.0000000474974513E-3</v>
      </c>
      <c r="G25" s="3">
        <f t="shared" si="4"/>
        <v>0</v>
      </c>
      <c r="H25" s="1">
        <f t="shared" si="5"/>
        <v>1</v>
      </c>
      <c r="I25" s="18">
        <v>1528</v>
      </c>
      <c r="J25" s="18">
        <v>1.0000000474974513E-3</v>
      </c>
      <c r="K25" s="3">
        <f t="shared" si="6"/>
        <v>5.9249506254114553E-3</v>
      </c>
      <c r="L25" s="1">
        <f t="shared" si="7"/>
        <v>0</v>
      </c>
      <c r="M25" s="18">
        <v>2246</v>
      </c>
      <c r="N25" s="18" t="s">
        <v>235</v>
      </c>
      <c r="O25" s="3">
        <f t="shared" si="8"/>
        <v>0.47860434496379195</v>
      </c>
      <c r="P25" s="1">
        <f t="shared" si="9"/>
        <v>0</v>
      </c>
      <c r="Q25" s="18">
        <v>2205</v>
      </c>
      <c r="R25" s="18" t="s">
        <v>235</v>
      </c>
      <c r="S25" s="3">
        <f t="shared" si="10"/>
        <v>0.45161290322580644</v>
      </c>
      <c r="T25" s="31">
        <f t="shared" si="11"/>
        <v>0</v>
      </c>
      <c r="U25" s="18">
        <v>1848</v>
      </c>
      <c r="V25" s="18" t="s">
        <v>235</v>
      </c>
      <c r="W25" s="3">
        <f t="shared" si="12"/>
        <v>0.21658986175115208</v>
      </c>
      <c r="X25" s="1">
        <f t="shared" si="13"/>
        <v>0</v>
      </c>
      <c r="AA25" s="2"/>
      <c r="AC25" s="2">
        <f t="shared" si="14"/>
        <v>1519</v>
      </c>
    </row>
    <row r="26" spans="2:29" ht="16" x14ac:dyDescent="0.2">
      <c r="B26" s="18">
        <v>12</v>
      </c>
      <c r="C26" s="18">
        <v>63</v>
      </c>
      <c r="D26" s="19" t="s">
        <v>9</v>
      </c>
      <c r="E26" s="18">
        <v>27</v>
      </c>
      <c r="F26" s="18">
        <v>0</v>
      </c>
      <c r="G26" s="3">
        <f t="shared" si="4"/>
        <v>0.17391304347826086</v>
      </c>
      <c r="H26" s="1">
        <f t="shared" si="5"/>
        <v>0</v>
      </c>
      <c r="I26" s="18">
        <v>23</v>
      </c>
      <c r="J26" s="18">
        <v>0</v>
      </c>
      <c r="K26" s="3">
        <f t="shared" si="6"/>
        <v>0</v>
      </c>
      <c r="L26" s="1">
        <f t="shared" si="7"/>
        <v>1</v>
      </c>
      <c r="M26" s="18">
        <v>23</v>
      </c>
      <c r="N26" s="18" t="s">
        <v>235</v>
      </c>
      <c r="O26" s="3">
        <f t="shared" si="8"/>
        <v>0</v>
      </c>
      <c r="P26" s="1">
        <f t="shared" si="9"/>
        <v>1</v>
      </c>
      <c r="Q26" s="18">
        <v>24</v>
      </c>
      <c r="R26" s="18" t="s">
        <v>235</v>
      </c>
      <c r="S26" s="3">
        <f t="shared" si="10"/>
        <v>4.3478260869565216E-2</v>
      </c>
      <c r="T26" s="31">
        <f t="shared" si="11"/>
        <v>0</v>
      </c>
      <c r="U26" s="18">
        <v>27</v>
      </c>
      <c r="V26" s="18" t="s">
        <v>235</v>
      </c>
      <c r="W26" s="3">
        <f t="shared" si="12"/>
        <v>0.17391304347826086</v>
      </c>
      <c r="X26" s="1">
        <f t="shared" si="13"/>
        <v>0</v>
      </c>
      <c r="AA26" s="2"/>
      <c r="AC26" s="2">
        <f t="shared" si="14"/>
        <v>23</v>
      </c>
    </row>
    <row r="27" spans="2:29" ht="16" x14ac:dyDescent="0.2">
      <c r="B27" s="18">
        <v>3</v>
      </c>
      <c r="C27" s="18">
        <v>14</v>
      </c>
      <c r="D27" s="19" t="s">
        <v>157</v>
      </c>
      <c r="E27" s="18">
        <v>3</v>
      </c>
      <c r="F27" s="18">
        <v>1.0000000474974513E-3</v>
      </c>
      <c r="G27" s="3">
        <f t="shared" si="4"/>
        <v>0</v>
      </c>
      <c r="H27" s="1">
        <f t="shared" si="5"/>
        <v>1</v>
      </c>
      <c r="I27" s="18">
        <v>3</v>
      </c>
      <c r="J27" s="18">
        <v>0</v>
      </c>
      <c r="K27" s="3">
        <f t="shared" si="6"/>
        <v>0</v>
      </c>
      <c r="L27" s="1">
        <f t="shared" si="7"/>
        <v>1</v>
      </c>
      <c r="M27" s="18">
        <v>3</v>
      </c>
      <c r="N27" s="18" t="s">
        <v>235</v>
      </c>
      <c r="O27" s="3">
        <f t="shared" si="8"/>
        <v>0</v>
      </c>
      <c r="P27" s="1">
        <f t="shared" si="9"/>
        <v>1</v>
      </c>
      <c r="Q27" s="18">
        <v>3</v>
      </c>
      <c r="R27" s="18" t="s">
        <v>235</v>
      </c>
      <c r="S27" s="3">
        <f t="shared" si="10"/>
        <v>0</v>
      </c>
      <c r="T27" s="31">
        <f t="shared" si="11"/>
        <v>1</v>
      </c>
      <c r="U27" s="18">
        <v>3</v>
      </c>
      <c r="V27" s="18" t="s">
        <v>235</v>
      </c>
      <c r="W27" s="3">
        <f t="shared" si="12"/>
        <v>0</v>
      </c>
      <c r="X27" s="1">
        <f t="shared" si="13"/>
        <v>1</v>
      </c>
      <c r="AA27" s="2"/>
      <c r="AC27" s="2">
        <f t="shared" si="14"/>
        <v>3</v>
      </c>
    </row>
    <row r="28" spans="2:29" ht="16" x14ac:dyDescent="0.2">
      <c r="B28" s="18">
        <v>56</v>
      </c>
      <c r="C28" s="18">
        <v>166</v>
      </c>
      <c r="D28" s="19" t="s">
        <v>158</v>
      </c>
      <c r="E28" s="18">
        <v>69</v>
      </c>
      <c r="F28" s="18">
        <v>0</v>
      </c>
      <c r="G28" s="3">
        <f t="shared" si="4"/>
        <v>0</v>
      </c>
      <c r="H28" s="1">
        <f t="shared" si="5"/>
        <v>1</v>
      </c>
      <c r="I28" s="18">
        <v>72</v>
      </c>
      <c r="J28" s="18">
        <v>0</v>
      </c>
      <c r="K28" s="3">
        <f t="shared" si="6"/>
        <v>4.3478260869565216E-2</v>
      </c>
      <c r="L28" s="1">
        <f t="shared" si="7"/>
        <v>0</v>
      </c>
      <c r="M28" s="18">
        <v>71</v>
      </c>
      <c r="N28" s="18" t="s">
        <v>235</v>
      </c>
      <c r="O28" s="3">
        <f t="shared" si="8"/>
        <v>2.8985507246376812E-2</v>
      </c>
      <c r="P28" s="1">
        <f t="shared" si="9"/>
        <v>0</v>
      </c>
      <c r="Q28" s="18">
        <v>72</v>
      </c>
      <c r="R28" s="18" t="s">
        <v>235</v>
      </c>
      <c r="S28" s="3">
        <f t="shared" si="10"/>
        <v>4.3478260869565216E-2</v>
      </c>
      <c r="T28" s="31">
        <f t="shared" si="11"/>
        <v>0</v>
      </c>
      <c r="U28" s="18">
        <v>84</v>
      </c>
      <c r="V28" s="18" t="s">
        <v>235</v>
      </c>
      <c r="W28" s="3">
        <f t="shared" si="12"/>
        <v>0.21739130434782608</v>
      </c>
      <c r="X28" s="1">
        <f t="shared" si="13"/>
        <v>0</v>
      </c>
      <c r="AA28" s="2"/>
      <c r="AC28" s="2">
        <f t="shared" si="14"/>
        <v>69</v>
      </c>
    </row>
    <row r="29" spans="2:29" ht="16" x14ac:dyDescent="0.2">
      <c r="B29" s="18">
        <v>9</v>
      </c>
      <c r="C29" s="18">
        <v>87</v>
      </c>
      <c r="D29" s="19" t="s">
        <v>159</v>
      </c>
      <c r="E29" s="18">
        <v>30</v>
      </c>
      <c r="F29" s="18">
        <v>0</v>
      </c>
      <c r="G29" s="3">
        <f t="shared" si="4"/>
        <v>0</v>
      </c>
      <c r="H29" s="1">
        <f t="shared" si="5"/>
        <v>1</v>
      </c>
      <c r="I29" s="18">
        <v>30</v>
      </c>
      <c r="J29" s="18">
        <v>0</v>
      </c>
      <c r="K29" s="3">
        <f t="shared" si="6"/>
        <v>0</v>
      </c>
      <c r="L29" s="1">
        <f t="shared" si="7"/>
        <v>1</v>
      </c>
      <c r="M29" s="18">
        <v>30</v>
      </c>
      <c r="N29" s="18" t="s">
        <v>235</v>
      </c>
      <c r="O29" s="3">
        <f t="shared" si="8"/>
        <v>0</v>
      </c>
      <c r="P29" s="1">
        <f t="shared" si="9"/>
        <v>1</v>
      </c>
      <c r="Q29" s="18">
        <v>30</v>
      </c>
      <c r="R29" s="18" t="s">
        <v>235</v>
      </c>
      <c r="S29" s="3">
        <f t="shared" si="10"/>
        <v>0</v>
      </c>
      <c r="T29" s="31">
        <f t="shared" si="11"/>
        <v>1</v>
      </c>
      <c r="U29" s="18">
        <v>42</v>
      </c>
      <c r="V29" s="18" t="s">
        <v>235</v>
      </c>
      <c r="W29" s="3">
        <f t="shared" si="12"/>
        <v>0.4</v>
      </c>
      <c r="X29" s="1">
        <f t="shared" si="13"/>
        <v>0</v>
      </c>
      <c r="AA29" s="2"/>
      <c r="AC29" s="2">
        <f t="shared" si="14"/>
        <v>30</v>
      </c>
    </row>
    <row r="30" spans="2:29" ht="16" x14ac:dyDescent="0.2">
      <c r="B30" s="18">
        <v>320</v>
      </c>
      <c r="C30" s="18">
        <v>3802</v>
      </c>
      <c r="D30" s="19" t="s">
        <v>160</v>
      </c>
      <c r="E30" s="18">
        <v>1347</v>
      </c>
      <c r="F30" s="18">
        <v>3.0000000260770321E-3</v>
      </c>
      <c r="G30" s="3">
        <f t="shared" si="4"/>
        <v>2.3556231003039513E-2</v>
      </c>
      <c r="H30" s="1">
        <f t="shared" si="5"/>
        <v>0</v>
      </c>
      <c r="I30" s="18">
        <v>1316</v>
      </c>
      <c r="J30" s="18">
        <v>2.0000000949949026E-3</v>
      </c>
      <c r="K30" s="3">
        <f t="shared" si="6"/>
        <v>0</v>
      </c>
      <c r="L30" s="1">
        <f t="shared" si="7"/>
        <v>1</v>
      </c>
      <c r="M30" s="18">
        <v>1463</v>
      </c>
      <c r="N30" s="18" t="s">
        <v>235</v>
      </c>
      <c r="O30" s="3">
        <f t="shared" si="8"/>
        <v>0.11170212765957446</v>
      </c>
      <c r="P30" s="1">
        <f t="shared" si="9"/>
        <v>0</v>
      </c>
      <c r="Q30" s="18">
        <v>1454</v>
      </c>
      <c r="R30" s="18" t="s">
        <v>235</v>
      </c>
      <c r="S30" s="3">
        <f t="shared" si="10"/>
        <v>0.10486322188449848</v>
      </c>
      <c r="T30" s="31">
        <f t="shared" si="11"/>
        <v>0</v>
      </c>
      <c r="U30" s="18">
        <v>1552</v>
      </c>
      <c r="V30" s="18" t="s">
        <v>235</v>
      </c>
      <c r="W30" s="3">
        <f t="shared" si="12"/>
        <v>0.17933130699088146</v>
      </c>
      <c r="X30" s="1">
        <f t="shared" si="13"/>
        <v>0</v>
      </c>
      <c r="AA30" s="2"/>
      <c r="AC30" s="2">
        <f t="shared" si="14"/>
        <v>1316</v>
      </c>
    </row>
    <row r="31" spans="2:29" ht="16" x14ac:dyDescent="0.2">
      <c r="B31" s="18">
        <v>10</v>
      </c>
      <c r="C31" s="18">
        <v>1391</v>
      </c>
      <c r="D31" s="19" t="s">
        <v>10</v>
      </c>
      <c r="E31" s="18">
        <v>430</v>
      </c>
      <c r="F31" s="18">
        <v>1.0000000474974513E-3</v>
      </c>
      <c r="G31" s="3">
        <f t="shared" si="4"/>
        <v>2.1377672209026127E-2</v>
      </c>
      <c r="H31" s="1">
        <f t="shared" si="5"/>
        <v>0</v>
      </c>
      <c r="I31" s="18">
        <v>421</v>
      </c>
      <c r="J31" s="18">
        <v>1.0000000474974513E-3</v>
      </c>
      <c r="K31" s="3">
        <f t="shared" si="6"/>
        <v>0</v>
      </c>
      <c r="L31" s="1">
        <f t="shared" si="7"/>
        <v>1</v>
      </c>
      <c r="M31" s="18">
        <v>767</v>
      </c>
      <c r="N31" s="18" t="s">
        <v>235</v>
      </c>
      <c r="O31" s="3">
        <f t="shared" si="8"/>
        <v>0.82185273159144889</v>
      </c>
      <c r="P31" s="1">
        <f t="shared" si="9"/>
        <v>0</v>
      </c>
      <c r="Q31" s="18">
        <v>780</v>
      </c>
      <c r="R31" s="18" t="s">
        <v>235</v>
      </c>
      <c r="S31" s="3">
        <f t="shared" si="10"/>
        <v>0.85273159144893107</v>
      </c>
      <c r="T31" s="31">
        <f t="shared" si="11"/>
        <v>0</v>
      </c>
      <c r="U31" s="18">
        <v>762</v>
      </c>
      <c r="V31" s="18" t="s">
        <v>235</v>
      </c>
      <c r="W31" s="3">
        <f t="shared" si="12"/>
        <v>0.80997624703087889</v>
      </c>
      <c r="X31" s="1">
        <f t="shared" si="13"/>
        <v>0</v>
      </c>
      <c r="AA31" s="2"/>
      <c r="AC31" s="2">
        <f t="shared" si="14"/>
        <v>421</v>
      </c>
    </row>
    <row r="32" spans="2:29" ht="16" x14ac:dyDescent="0.2">
      <c r="B32" s="18">
        <v>91</v>
      </c>
      <c r="C32" s="18">
        <v>1257</v>
      </c>
      <c r="D32" s="19" t="s">
        <v>161</v>
      </c>
      <c r="E32" s="18">
        <v>252</v>
      </c>
      <c r="F32" s="18">
        <v>0</v>
      </c>
      <c r="G32" s="3">
        <f t="shared" si="4"/>
        <v>0</v>
      </c>
      <c r="H32" s="1">
        <f t="shared" si="5"/>
        <v>1</v>
      </c>
      <c r="I32" s="18">
        <v>255</v>
      </c>
      <c r="J32" s="18">
        <v>2.0000000949949026E-3</v>
      </c>
      <c r="K32" s="3">
        <f t="shared" si="6"/>
        <v>1.1904761904761904E-2</v>
      </c>
      <c r="L32" s="1">
        <f t="shared" si="7"/>
        <v>0</v>
      </c>
      <c r="M32" s="18">
        <v>563</v>
      </c>
      <c r="N32" s="18" t="s">
        <v>235</v>
      </c>
      <c r="O32" s="3">
        <f t="shared" si="8"/>
        <v>1.2341269841269842</v>
      </c>
      <c r="P32" s="1">
        <f t="shared" si="9"/>
        <v>0</v>
      </c>
      <c r="Q32" s="18">
        <v>573</v>
      </c>
      <c r="R32" s="18" t="s">
        <v>235</v>
      </c>
      <c r="S32" s="3">
        <f t="shared" si="10"/>
        <v>1.2738095238095237</v>
      </c>
      <c r="T32" s="31">
        <f t="shared" si="11"/>
        <v>0</v>
      </c>
      <c r="U32" s="18">
        <v>333</v>
      </c>
      <c r="V32" s="18" t="s">
        <v>235</v>
      </c>
      <c r="W32" s="3">
        <f t="shared" si="12"/>
        <v>0.32142857142857145</v>
      </c>
      <c r="X32" s="1">
        <f t="shared" si="13"/>
        <v>0</v>
      </c>
      <c r="AA32" s="2"/>
      <c r="AC32" s="2">
        <f t="shared" si="14"/>
        <v>252</v>
      </c>
    </row>
    <row r="33" spans="2:29" ht="16" x14ac:dyDescent="0.2">
      <c r="B33" s="18">
        <v>92</v>
      </c>
      <c r="C33" s="18">
        <v>1279</v>
      </c>
      <c r="D33" s="19" t="s">
        <v>162</v>
      </c>
      <c r="E33" s="18">
        <v>255</v>
      </c>
      <c r="F33" s="18">
        <v>0</v>
      </c>
      <c r="G33" s="3">
        <f t="shared" si="4"/>
        <v>1.1904761904761904E-2</v>
      </c>
      <c r="H33" s="1">
        <f t="shared" si="5"/>
        <v>0</v>
      </c>
      <c r="I33" s="18">
        <v>252</v>
      </c>
      <c r="J33" s="18">
        <v>1.0000000474974513E-3</v>
      </c>
      <c r="K33" s="3">
        <f t="shared" si="6"/>
        <v>0</v>
      </c>
      <c r="L33" s="1">
        <f t="shared" si="7"/>
        <v>1</v>
      </c>
      <c r="M33" s="18">
        <v>578</v>
      </c>
      <c r="N33" s="18" t="s">
        <v>235</v>
      </c>
      <c r="O33" s="3">
        <f t="shared" si="8"/>
        <v>1.2936507936507937</v>
      </c>
      <c r="P33" s="1">
        <f t="shared" si="9"/>
        <v>0</v>
      </c>
      <c r="Q33" s="18">
        <v>594</v>
      </c>
      <c r="R33" s="18" t="s">
        <v>235</v>
      </c>
      <c r="S33" s="3">
        <f t="shared" si="10"/>
        <v>1.3571428571428572</v>
      </c>
      <c r="T33" s="31">
        <f t="shared" si="11"/>
        <v>0</v>
      </c>
      <c r="U33" s="18">
        <v>348</v>
      </c>
      <c r="V33" s="18" t="s">
        <v>235</v>
      </c>
      <c r="W33" s="3">
        <f t="shared" si="12"/>
        <v>0.38095238095238093</v>
      </c>
      <c r="X33" s="1">
        <f t="shared" si="13"/>
        <v>0</v>
      </c>
      <c r="AA33" s="2"/>
      <c r="AC33" s="2">
        <f t="shared" si="14"/>
        <v>252</v>
      </c>
    </row>
    <row r="34" spans="2:29" ht="16" x14ac:dyDescent="0.2">
      <c r="B34" s="18">
        <v>29</v>
      </c>
      <c r="C34" s="18">
        <v>171</v>
      </c>
      <c r="D34" s="19" t="s">
        <v>163</v>
      </c>
      <c r="E34" s="18">
        <v>39</v>
      </c>
      <c r="F34" s="18">
        <v>0</v>
      </c>
      <c r="G34" s="3">
        <f t="shared" si="4"/>
        <v>8.3333333333333329E-2</v>
      </c>
      <c r="H34" s="1">
        <f t="shared" si="5"/>
        <v>0</v>
      </c>
      <c r="I34" s="18">
        <v>42</v>
      </c>
      <c r="J34" s="18">
        <v>0</v>
      </c>
      <c r="K34" s="3">
        <f t="shared" si="6"/>
        <v>0.16666666666666666</v>
      </c>
      <c r="L34" s="1">
        <f t="shared" si="7"/>
        <v>0</v>
      </c>
      <c r="M34" s="18">
        <v>62</v>
      </c>
      <c r="N34" s="18" t="s">
        <v>235</v>
      </c>
      <c r="O34" s="3">
        <f t="shared" si="8"/>
        <v>0.72222222222222221</v>
      </c>
      <c r="P34" s="1">
        <f t="shared" si="9"/>
        <v>0</v>
      </c>
      <c r="Q34" s="18">
        <v>72</v>
      </c>
      <c r="R34" s="18" t="s">
        <v>235</v>
      </c>
      <c r="S34" s="3">
        <f t="shared" si="10"/>
        <v>1</v>
      </c>
      <c r="T34" s="31">
        <f t="shared" si="11"/>
        <v>0</v>
      </c>
      <c r="U34" s="18">
        <v>36</v>
      </c>
      <c r="V34" s="18" t="s">
        <v>235</v>
      </c>
      <c r="W34" s="3">
        <f t="shared" si="12"/>
        <v>0</v>
      </c>
      <c r="X34" s="1">
        <f t="shared" si="13"/>
        <v>1</v>
      </c>
      <c r="AA34" s="2"/>
      <c r="AC34" s="2">
        <f t="shared" si="14"/>
        <v>36</v>
      </c>
    </row>
    <row r="35" spans="2:29" ht="16" x14ac:dyDescent="0.2">
      <c r="B35" s="18">
        <v>29</v>
      </c>
      <c r="C35" s="18">
        <v>192</v>
      </c>
      <c r="D35" s="19" t="s">
        <v>11</v>
      </c>
      <c r="E35" s="18">
        <v>79</v>
      </c>
      <c r="F35" s="18">
        <v>0</v>
      </c>
      <c r="G35" s="3">
        <f t="shared" si="4"/>
        <v>9.7222222222222224E-2</v>
      </c>
      <c r="H35" s="1">
        <f t="shared" si="5"/>
        <v>0</v>
      </c>
      <c r="I35" s="18">
        <v>81</v>
      </c>
      <c r="J35" s="18">
        <v>0</v>
      </c>
      <c r="K35" s="3">
        <f t="shared" si="6"/>
        <v>0.125</v>
      </c>
      <c r="L35" s="1">
        <f t="shared" si="7"/>
        <v>0</v>
      </c>
      <c r="M35" s="18">
        <v>72</v>
      </c>
      <c r="N35" s="18" t="s">
        <v>235</v>
      </c>
      <c r="O35" s="3">
        <f t="shared" si="8"/>
        <v>0</v>
      </c>
      <c r="P35" s="1">
        <f t="shared" si="9"/>
        <v>1</v>
      </c>
      <c r="Q35" s="18">
        <v>81</v>
      </c>
      <c r="R35" s="18" t="s">
        <v>235</v>
      </c>
      <c r="S35" s="3">
        <f t="shared" si="10"/>
        <v>0.125</v>
      </c>
      <c r="T35" s="31">
        <f t="shared" si="11"/>
        <v>0</v>
      </c>
      <c r="U35" s="18">
        <v>99</v>
      </c>
      <c r="V35" s="18" t="s">
        <v>235</v>
      </c>
      <c r="W35" s="3">
        <f t="shared" si="12"/>
        <v>0.375</v>
      </c>
      <c r="X35" s="1">
        <f t="shared" si="13"/>
        <v>0</v>
      </c>
      <c r="AA35" s="2"/>
      <c r="AC35" s="2">
        <f t="shared" si="14"/>
        <v>72</v>
      </c>
    </row>
    <row r="36" spans="2:29" ht="16" x14ac:dyDescent="0.2">
      <c r="B36" s="18">
        <v>57</v>
      </c>
      <c r="C36" s="18">
        <v>247</v>
      </c>
      <c r="D36" s="19" t="s">
        <v>164</v>
      </c>
      <c r="E36" s="18">
        <v>84</v>
      </c>
      <c r="F36" s="18">
        <v>0</v>
      </c>
      <c r="G36" s="3">
        <f t="shared" si="4"/>
        <v>3.7037037037037035E-2</v>
      </c>
      <c r="H36" s="1">
        <f t="shared" si="5"/>
        <v>0</v>
      </c>
      <c r="I36" s="18">
        <v>81</v>
      </c>
      <c r="J36" s="18">
        <v>0</v>
      </c>
      <c r="K36" s="3">
        <f t="shared" si="6"/>
        <v>0</v>
      </c>
      <c r="L36" s="1">
        <f t="shared" si="7"/>
        <v>1</v>
      </c>
      <c r="M36" s="18">
        <v>101</v>
      </c>
      <c r="N36" s="18" t="s">
        <v>235</v>
      </c>
      <c r="O36" s="3">
        <f t="shared" si="8"/>
        <v>0.24691358024691357</v>
      </c>
      <c r="P36" s="1">
        <f t="shared" si="9"/>
        <v>0</v>
      </c>
      <c r="Q36" s="18">
        <v>99</v>
      </c>
      <c r="R36" s="18" t="s">
        <v>235</v>
      </c>
      <c r="S36" s="3">
        <f t="shared" si="10"/>
        <v>0.22222222222222221</v>
      </c>
      <c r="T36" s="31">
        <f t="shared" si="11"/>
        <v>0</v>
      </c>
      <c r="U36" s="18">
        <v>135</v>
      </c>
      <c r="V36" s="18" t="s">
        <v>235</v>
      </c>
      <c r="W36" s="3">
        <f t="shared" si="12"/>
        <v>0.66666666666666663</v>
      </c>
      <c r="X36" s="1">
        <f t="shared" si="13"/>
        <v>0</v>
      </c>
      <c r="AA36" s="2"/>
      <c r="AC36" s="2">
        <f t="shared" si="14"/>
        <v>81</v>
      </c>
    </row>
    <row r="37" spans="2:29" ht="16" x14ac:dyDescent="0.2">
      <c r="B37" s="18">
        <v>8</v>
      </c>
      <c r="C37" s="18">
        <v>35</v>
      </c>
      <c r="D37" s="19" t="s">
        <v>165</v>
      </c>
      <c r="E37" s="18">
        <v>12</v>
      </c>
      <c r="F37" s="18">
        <v>0</v>
      </c>
      <c r="G37" s="3">
        <f t="shared" si="4"/>
        <v>0</v>
      </c>
      <c r="H37" s="1">
        <f t="shared" si="5"/>
        <v>1</v>
      </c>
      <c r="I37" s="18">
        <v>12</v>
      </c>
      <c r="J37" s="18">
        <v>0</v>
      </c>
      <c r="K37" s="3">
        <f t="shared" si="6"/>
        <v>0</v>
      </c>
      <c r="L37" s="1">
        <f t="shared" si="7"/>
        <v>1</v>
      </c>
      <c r="M37" s="18">
        <v>12</v>
      </c>
      <c r="N37" s="18" t="s">
        <v>235</v>
      </c>
      <c r="O37" s="3">
        <f t="shared" si="8"/>
        <v>0</v>
      </c>
      <c r="P37" s="18"/>
      <c r="Q37" s="18">
        <v>12</v>
      </c>
      <c r="R37" s="18" t="s">
        <v>235</v>
      </c>
      <c r="S37" s="3">
        <f t="shared" si="10"/>
        <v>0</v>
      </c>
      <c r="T37" s="33"/>
      <c r="U37" s="18">
        <v>18</v>
      </c>
      <c r="V37" s="18" t="s">
        <v>235</v>
      </c>
      <c r="W37" s="3">
        <f t="shared" si="12"/>
        <v>0.5</v>
      </c>
      <c r="X37" s="1">
        <f t="shared" si="13"/>
        <v>0</v>
      </c>
      <c r="AC37" s="2">
        <f t="shared" si="14"/>
        <v>12</v>
      </c>
    </row>
    <row r="38" spans="2:29" ht="16" x14ac:dyDescent="0.2">
      <c r="B38" s="18">
        <v>8</v>
      </c>
      <c r="C38" s="18">
        <v>80</v>
      </c>
      <c r="D38" s="19" t="s">
        <v>166</v>
      </c>
      <c r="E38" s="18">
        <v>18</v>
      </c>
      <c r="F38" s="18">
        <v>0</v>
      </c>
      <c r="G38" s="3">
        <f t="shared" si="4"/>
        <v>0</v>
      </c>
      <c r="H38" s="1">
        <f t="shared" si="5"/>
        <v>1</v>
      </c>
      <c r="I38" s="18">
        <v>18</v>
      </c>
      <c r="J38" s="18">
        <v>0</v>
      </c>
      <c r="K38" s="3">
        <f t="shared" si="6"/>
        <v>0</v>
      </c>
      <c r="L38" s="1">
        <f t="shared" si="7"/>
        <v>1</v>
      </c>
      <c r="M38" s="18">
        <v>24</v>
      </c>
      <c r="N38" s="18" t="s">
        <v>235</v>
      </c>
      <c r="O38" s="3">
        <f t="shared" si="8"/>
        <v>0.33333333333333331</v>
      </c>
      <c r="P38" s="18"/>
      <c r="Q38" s="18">
        <v>24</v>
      </c>
      <c r="R38" s="18" t="s">
        <v>235</v>
      </c>
      <c r="S38" s="3">
        <f t="shared" si="10"/>
        <v>0.33333333333333331</v>
      </c>
      <c r="T38" s="33"/>
      <c r="U38" s="18">
        <v>24</v>
      </c>
      <c r="V38" s="18" t="s">
        <v>235</v>
      </c>
      <c r="W38" s="3">
        <f t="shared" si="12"/>
        <v>0.33333333333333331</v>
      </c>
      <c r="X38" s="1">
        <f t="shared" si="13"/>
        <v>0</v>
      </c>
      <c r="AC38" s="2">
        <f t="shared" si="14"/>
        <v>18</v>
      </c>
    </row>
    <row r="39" spans="2:29" ht="16" x14ac:dyDescent="0.2">
      <c r="B39" s="18">
        <v>25</v>
      </c>
      <c r="C39" s="18">
        <v>123</v>
      </c>
      <c r="D39" s="19" t="s">
        <v>167</v>
      </c>
      <c r="E39" s="18">
        <v>51</v>
      </c>
      <c r="F39" s="18">
        <v>0</v>
      </c>
      <c r="G39" s="3">
        <f t="shared" si="4"/>
        <v>0.02</v>
      </c>
      <c r="H39" s="1">
        <f t="shared" si="5"/>
        <v>0</v>
      </c>
      <c r="I39" s="18">
        <v>50</v>
      </c>
      <c r="J39" s="18">
        <v>0</v>
      </c>
      <c r="K39" s="3">
        <f t="shared" si="6"/>
        <v>0</v>
      </c>
      <c r="L39" s="1">
        <f t="shared" si="7"/>
        <v>1</v>
      </c>
      <c r="M39" s="18">
        <v>68</v>
      </c>
      <c r="N39" s="18" t="s">
        <v>235</v>
      </c>
      <c r="O39" s="3">
        <f t="shared" si="8"/>
        <v>0.36</v>
      </c>
      <c r="P39" s="18"/>
      <c r="Q39" s="18">
        <v>69</v>
      </c>
      <c r="R39" s="18" t="s">
        <v>235</v>
      </c>
      <c r="S39" s="3">
        <f t="shared" si="10"/>
        <v>0.38</v>
      </c>
      <c r="T39" s="33"/>
      <c r="U39" s="18">
        <v>75</v>
      </c>
      <c r="V39" s="18" t="s">
        <v>235</v>
      </c>
      <c r="W39" s="3">
        <f t="shared" si="12"/>
        <v>0.5</v>
      </c>
      <c r="X39" s="1">
        <f t="shared" si="13"/>
        <v>0</v>
      </c>
      <c r="AC39" s="2">
        <f t="shared" si="14"/>
        <v>50</v>
      </c>
    </row>
    <row r="40" spans="2:29" ht="16" x14ac:dyDescent="0.2">
      <c r="B40" s="18">
        <v>16</v>
      </c>
      <c r="C40" s="18">
        <v>294</v>
      </c>
      <c r="D40" s="19" t="s">
        <v>168</v>
      </c>
      <c r="E40" s="18">
        <v>26</v>
      </c>
      <c r="F40" s="18">
        <v>1.0000000474974513E-3</v>
      </c>
      <c r="G40" s="3">
        <f t="shared" si="4"/>
        <v>0</v>
      </c>
      <c r="H40" s="1">
        <f t="shared" si="5"/>
        <v>1</v>
      </c>
      <c r="I40" s="18">
        <v>26</v>
      </c>
      <c r="J40" s="18">
        <v>0</v>
      </c>
      <c r="K40" s="3">
        <f t="shared" si="6"/>
        <v>0</v>
      </c>
      <c r="L40" s="1">
        <f t="shared" si="7"/>
        <v>1</v>
      </c>
      <c r="M40" s="18">
        <v>56</v>
      </c>
      <c r="N40" s="18" t="s">
        <v>235</v>
      </c>
      <c r="O40" s="3">
        <f t="shared" si="8"/>
        <v>1.1538461538461537</v>
      </c>
      <c r="P40" s="18"/>
      <c r="Q40" s="18">
        <v>72</v>
      </c>
      <c r="R40" s="18" t="s">
        <v>235</v>
      </c>
      <c r="S40" s="3">
        <f t="shared" si="10"/>
        <v>1.7692307692307692</v>
      </c>
      <c r="T40" s="33"/>
      <c r="U40" s="18">
        <v>27</v>
      </c>
      <c r="V40" s="18" t="s">
        <v>235</v>
      </c>
      <c r="W40" s="3">
        <f t="shared" si="12"/>
        <v>3.8461538461538464E-2</v>
      </c>
      <c r="X40" s="1">
        <f t="shared" si="13"/>
        <v>0</v>
      </c>
      <c r="AC40" s="2">
        <f t="shared" si="14"/>
        <v>26</v>
      </c>
    </row>
    <row r="41" spans="2:29" ht="16" x14ac:dyDescent="0.2">
      <c r="B41" s="18">
        <v>16</v>
      </c>
      <c r="C41" s="18">
        <v>294</v>
      </c>
      <c r="D41" s="19" t="s">
        <v>169</v>
      </c>
      <c r="E41" s="18">
        <v>26</v>
      </c>
      <c r="F41" s="18">
        <v>0</v>
      </c>
      <c r="G41" s="3">
        <f t="shared" si="4"/>
        <v>0</v>
      </c>
      <c r="H41" s="1">
        <f t="shared" si="5"/>
        <v>1</v>
      </c>
      <c r="I41" s="18">
        <v>26</v>
      </c>
      <c r="J41" s="18">
        <v>1.0000000474974513E-3</v>
      </c>
      <c r="K41" s="3">
        <f t="shared" si="6"/>
        <v>0</v>
      </c>
      <c r="L41" s="1">
        <f t="shared" si="7"/>
        <v>1</v>
      </c>
      <c r="M41" s="18">
        <v>71</v>
      </c>
      <c r="N41" s="18" t="s">
        <v>235</v>
      </c>
      <c r="O41" s="3">
        <f t="shared" si="8"/>
        <v>1.7307692307692308</v>
      </c>
      <c r="P41" s="18"/>
      <c r="Q41" s="18">
        <v>63</v>
      </c>
      <c r="R41" s="18" t="s">
        <v>235</v>
      </c>
      <c r="S41" s="3">
        <f t="shared" si="10"/>
        <v>1.4230769230769231</v>
      </c>
      <c r="T41" s="33"/>
      <c r="U41" s="18">
        <v>27</v>
      </c>
      <c r="V41" s="18" t="s">
        <v>235</v>
      </c>
      <c r="W41" s="3">
        <f t="shared" si="12"/>
        <v>3.8461538461538464E-2</v>
      </c>
      <c r="X41" s="1">
        <f t="shared" si="13"/>
        <v>0</v>
      </c>
      <c r="AC41" s="2">
        <f t="shared" si="14"/>
        <v>26</v>
      </c>
    </row>
    <row r="42" spans="2:29" ht="16" x14ac:dyDescent="0.2">
      <c r="B42" s="18">
        <v>16</v>
      </c>
      <c r="C42" s="18">
        <v>294</v>
      </c>
      <c r="D42" s="19" t="s">
        <v>12</v>
      </c>
      <c r="E42" s="18">
        <v>26</v>
      </c>
      <c r="F42" s="18">
        <v>1.0000000474974513E-3</v>
      </c>
      <c r="G42" s="3">
        <f t="shared" si="4"/>
        <v>0</v>
      </c>
      <c r="H42" s="1">
        <f t="shared" si="5"/>
        <v>1</v>
      </c>
      <c r="I42" s="18">
        <v>26</v>
      </c>
      <c r="J42" s="18">
        <v>0</v>
      </c>
      <c r="K42" s="3">
        <f t="shared" si="6"/>
        <v>0</v>
      </c>
      <c r="L42" s="1">
        <f t="shared" si="7"/>
        <v>1</v>
      </c>
      <c r="M42" s="18">
        <v>71</v>
      </c>
      <c r="N42" s="18" t="s">
        <v>235</v>
      </c>
      <c r="O42" s="3">
        <f t="shared" si="8"/>
        <v>1.7307692307692308</v>
      </c>
      <c r="P42" s="18"/>
      <c r="Q42" s="18">
        <v>75</v>
      </c>
      <c r="R42" s="18" t="s">
        <v>235</v>
      </c>
      <c r="S42" s="3">
        <f t="shared" si="10"/>
        <v>1.8846153846153846</v>
      </c>
      <c r="T42" s="33"/>
      <c r="U42" s="18">
        <v>27</v>
      </c>
      <c r="V42" s="18" t="s">
        <v>235</v>
      </c>
      <c r="W42" s="3">
        <f t="shared" si="12"/>
        <v>3.8461538461538464E-2</v>
      </c>
      <c r="X42" s="1">
        <f t="shared" si="13"/>
        <v>0</v>
      </c>
      <c r="AC42" s="2">
        <f t="shared" si="14"/>
        <v>26</v>
      </c>
    </row>
    <row r="43" spans="2:29" ht="16" x14ac:dyDescent="0.2">
      <c r="B43" s="18">
        <v>16</v>
      </c>
      <c r="C43" s="18">
        <v>294</v>
      </c>
      <c r="D43" s="19" t="s">
        <v>170</v>
      </c>
      <c r="E43" s="18">
        <v>26</v>
      </c>
      <c r="F43" s="18">
        <v>0</v>
      </c>
      <c r="G43" s="3">
        <f t="shared" ref="G43:G74" si="15">(E43-$AC43)/$AC43</f>
        <v>0</v>
      </c>
      <c r="H43" s="1">
        <f t="shared" ref="H43:H74" si="16">IF(E43=$AC43,1,0)</f>
        <v>1</v>
      </c>
      <c r="I43" s="18">
        <v>26</v>
      </c>
      <c r="J43" s="18">
        <v>0</v>
      </c>
      <c r="K43" s="3">
        <f t="shared" ref="K43:K74" si="17">(I43-$AC43)/$AC43</f>
        <v>0</v>
      </c>
      <c r="L43" s="1">
        <f t="shared" ref="L43:L74" si="18">IF(I43=$AC43,1,0)</f>
        <v>1</v>
      </c>
      <c r="M43" s="18">
        <v>62</v>
      </c>
      <c r="N43" s="18" t="s">
        <v>235</v>
      </c>
      <c r="O43" s="3">
        <f t="shared" ref="O43:O74" si="19">(M43-$AC43)/$AC43</f>
        <v>1.3846153846153846</v>
      </c>
      <c r="P43" s="18"/>
      <c r="Q43" s="18">
        <v>66</v>
      </c>
      <c r="R43" s="18" t="s">
        <v>235</v>
      </c>
      <c r="S43" s="3">
        <f t="shared" ref="S43:S74" si="20">(Q43-$AC43)/$AC43</f>
        <v>1.5384615384615385</v>
      </c>
      <c r="T43" s="33"/>
      <c r="U43" s="18">
        <v>27</v>
      </c>
      <c r="V43" s="18" t="s">
        <v>235</v>
      </c>
      <c r="W43" s="3">
        <f t="shared" ref="W43:W74" si="21">(U43-$AC43)/$AC43</f>
        <v>3.8461538461538464E-2</v>
      </c>
      <c r="X43" s="1">
        <f t="shared" ref="X43:X74" si="22">IF(U43=$AC43,1,0)</f>
        <v>0</v>
      </c>
      <c r="AC43" s="2">
        <f t="shared" ref="AC43:AC74" si="23">MIN(E43,I43,M43,Q43,U43)</f>
        <v>26</v>
      </c>
    </row>
    <row r="44" spans="2:29" ht="16" x14ac:dyDescent="0.2">
      <c r="B44" s="18">
        <v>577</v>
      </c>
      <c r="C44" s="18">
        <v>1627</v>
      </c>
      <c r="D44" s="19" t="s">
        <v>171</v>
      </c>
      <c r="E44" s="18">
        <v>626</v>
      </c>
      <c r="F44" s="18">
        <v>1.0000000474974513E-3</v>
      </c>
      <c r="G44" s="3">
        <f t="shared" si="15"/>
        <v>1.2944983818770227E-2</v>
      </c>
      <c r="H44" s="1">
        <f t="shared" si="16"/>
        <v>0</v>
      </c>
      <c r="I44" s="18">
        <v>618</v>
      </c>
      <c r="J44" s="18">
        <v>0</v>
      </c>
      <c r="K44" s="3">
        <f t="shared" si="17"/>
        <v>0</v>
      </c>
      <c r="L44" s="1">
        <f t="shared" si="18"/>
        <v>1</v>
      </c>
      <c r="M44" s="18">
        <v>995</v>
      </c>
      <c r="N44" s="18" t="s">
        <v>235</v>
      </c>
      <c r="O44" s="3">
        <f t="shared" si="19"/>
        <v>0.61003236245954695</v>
      </c>
      <c r="P44" s="18"/>
      <c r="Q44" s="18">
        <v>986</v>
      </c>
      <c r="R44" s="18" t="s">
        <v>235</v>
      </c>
      <c r="S44" s="3">
        <f t="shared" si="20"/>
        <v>0.59546925566343045</v>
      </c>
      <c r="T44" s="33"/>
      <c r="U44" s="18">
        <v>1443</v>
      </c>
      <c r="V44" s="18" t="s">
        <v>235</v>
      </c>
      <c r="W44" s="3">
        <f t="shared" si="21"/>
        <v>1.3349514563106797</v>
      </c>
      <c r="X44" s="1">
        <f t="shared" si="22"/>
        <v>0</v>
      </c>
      <c r="AC44" s="2">
        <f t="shared" si="23"/>
        <v>618</v>
      </c>
    </row>
    <row r="45" spans="2:29" ht="16" x14ac:dyDescent="0.2">
      <c r="B45" s="18">
        <v>577</v>
      </c>
      <c r="C45" s="18">
        <v>1627</v>
      </c>
      <c r="D45" s="19" t="s">
        <v>172</v>
      </c>
      <c r="E45" s="18">
        <v>626</v>
      </c>
      <c r="F45" s="18">
        <v>1.0000000474974513E-3</v>
      </c>
      <c r="G45" s="3">
        <f t="shared" si="15"/>
        <v>1.2944983818770227E-2</v>
      </c>
      <c r="H45" s="1">
        <f t="shared" si="16"/>
        <v>0</v>
      </c>
      <c r="I45" s="18">
        <v>618</v>
      </c>
      <c r="J45" s="18">
        <v>1.0000000474974513E-3</v>
      </c>
      <c r="K45" s="3">
        <f t="shared" si="17"/>
        <v>0</v>
      </c>
      <c r="L45" s="1">
        <f t="shared" si="18"/>
        <v>1</v>
      </c>
      <c r="M45" s="18">
        <v>994</v>
      </c>
      <c r="N45" s="18" t="s">
        <v>235</v>
      </c>
      <c r="O45" s="3">
        <f t="shared" si="19"/>
        <v>0.60841423948220064</v>
      </c>
      <c r="P45" s="18"/>
      <c r="Q45" s="18">
        <v>999</v>
      </c>
      <c r="R45" s="18" t="s">
        <v>235</v>
      </c>
      <c r="S45" s="3">
        <f t="shared" si="20"/>
        <v>0.61650485436893199</v>
      </c>
      <c r="T45" s="33"/>
      <c r="U45" s="18">
        <v>1443</v>
      </c>
      <c r="V45" s="18" t="s">
        <v>235</v>
      </c>
      <c r="W45" s="3">
        <f t="shared" si="21"/>
        <v>1.3349514563106797</v>
      </c>
      <c r="X45" s="1">
        <f t="shared" si="22"/>
        <v>0</v>
      </c>
      <c r="AC45" s="2">
        <f t="shared" si="23"/>
        <v>618</v>
      </c>
    </row>
    <row r="46" spans="2:29" ht="16" x14ac:dyDescent="0.2">
      <c r="B46" s="18">
        <v>577</v>
      </c>
      <c r="C46" s="18">
        <v>1627</v>
      </c>
      <c r="D46" s="19" t="s">
        <v>173</v>
      </c>
      <c r="E46" s="18">
        <v>626</v>
      </c>
      <c r="F46" s="18">
        <v>1.0000000474974513E-3</v>
      </c>
      <c r="G46" s="3">
        <f t="shared" si="15"/>
        <v>1.2944983818770227E-2</v>
      </c>
      <c r="H46" s="1">
        <f t="shared" si="16"/>
        <v>0</v>
      </c>
      <c r="I46" s="18">
        <v>618</v>
      </c>
      <c r="J46" s="18">
        <v>0</v>
      </c>
      <c r="K46" s="3">
        <f t="shared" si="17"/>
        <v>0</v>
      </c>
      <c r="L46" s="1">
        <f t="shared" si="18"/>
        <v>1</v>
      </c>
      <c r="M46" s="18">
        <v>995</v>
      </c>
      <c r="N46" s="18" t="s">
        <v>235</v>
      </c>
      <c r="O46" s="3">
        <f t="shared" si="19"/>
        <v>0.61003236245954695</v>
      </c>
      <c r="P46" s="18"/>
      <c r="Q46" s="18">
        <v>999</v>
      </c>
      <c r="R46" s="18" t="s">
        <v>235</v>
      </c>
      <c r="S46" s="3">
        <f t="shared" si="20"/>
        <v>0.61650485436893199</v>
      </c>
      <c r="T46" s="33"/>
      <c r="U46" s="18">
        <v>1443</v>
      </c>
      <c r="V46" s="18" t="s">
        <v>235</v>
      </c>
      <c r="W46" s="3">
        <f t="shared" si="21"/>
        <v>1.3349514563106797</v>
      </c>
      <c r="X46" s="1">
        <f t="shared" si="22"/>
        <v>0</v>
      </c>
      <c r="AC46" s="2">
        <f t="shared" si="23"/>
        <v>618</v>
      </c>
    </row>
    <row r="47" spans="2:29" ht="16" x14ac:dyDescent="0.2">
      <c r="B47" s="18">
        <v>577</v>
      </c>
      <c r="C47" s="18">
        <v>1627</v>
      </c>
      <c r="D47" s="19" t="s">
        <v>174</v>
      </c>
      <c r="E47" s="18">
        <v>626</v>
      </c>
      <c r="F47" s="18">
        <v>0</v>
      </c>
      <c r="G47" s="3">
        <f t="shared" si="15"/>
        <v>1.2944983818770227E-2</v>
      </c>
      <c r="H47" s="1">
        <f t="shared" si="16"/>
        <v>0</v>
      </c>
      <c r="I47" s="18">
        <v>618</v>
      </c>
      <c r="J47" s="18">
        <v>0</v>
      </c>
      <c r="K47" s="3">
        <f t="shared" si="17"/>
        <v>0</v>
      </c>
      <c r="L47" s="1">
        <f t="shared" si="18"/>
        <v>1</v>
      </c>
      <c r="M47" s="18">
        <v>986</v>
      </c>
      <c r="N47" s="18" t="s">
        <v>235</v>
      </c>
      <c r="O47" s="3">
        <f t="shared" si="19"/>
        <v>0.59546925566343045</v>
      </c>
      <c r="P47" s="18"/>
      <c r="Q47" s="18">
        <v>979</v>
      </c>
      <c r="R47" s="18" t="s">
        <v>235</v>
      </c>
      <c r="S47" s="3">
        <f t="shared" si="20"/>
        <v>0.58414239482200647</v>
      </c>
      <c r="T47" s="33"/>
      <c r="U47" s="18">
        <v>1443</v>
      </c>
      <c r="V47" s="18" t="s">
        <v>235</v>
      </c>
      <c r="W47" s="3">
        <f t="shared" si="21"/>
        <v>1.3349514563106797</v>
      </c>
      <c r="X47" s="1">
        <f t="shared" si="22"/>
        <v>0</v>
      </c>
      <c r="AC47" s="2">
        <f t="shared" si="23"/>
        <v>618</v>
      </c>
    </row>
    <row r="48" spans="2:29" ht="16" x14ac:dyDescent="0.2">
      <c r="B48" s="18">
        <v>577</v>
      </c>
      <c r="C48" s="18">
        <v>1627</v>
      </c>
      <c r="D48" s="19" t="s">
        <v>175</v>
      </c>
      <c r="E48" s="18">
        <v>626</v>
      </c>
      <c r="F48" s="18">
        <v>0</v>
      </c>
      <c r="G48" s="3">
        <f t="shared" si="15"/>
        <v>1.2944983818770227E-2</v>
      </c>
      <c r="H48" s="1">
        <f t="shared" si="16"/>
        <v>0</v>
      </c>
      <c r="I48" s="18">
        <v>618</v>
      </c>
      <c r="J48" s="18">
        <v>6.0000000521540642E-3</v>
      </c>
      <c r="K48" s="3">
        <f t="shared" si="17"/>
        <v>0</v>
      </c>
      <c r="L48" s="1">
        <f t="shared" si="18"/>
        <v>1</v>
      </c>
      <c r="M48" s="18">
        <v>998</v>
      </c>
      <c r="N48" s="18" t="s">
        <v>235</v>
      </c>
      <c r="O48" s="3">
        <f t="shared" si="19"/>
        <v>0.61488673139158578</v>
      </c>
      <c r="P48" s="18"/>
      <c r="Q48" s="18">
        <v>1003</v>
      </c>
      <c r="R48" s="18" t="s">
        <v>235</v>
      </c>
      <c r="S48" s="3">
        <f t="shared" si="20"/>
        <v>0.62297734627831713</v>
      </c>
      <c r="T48" s="33"/>
      <c r="U48" s="18">
        <v>1443</v>
      </c>
      <c r="V48" s="18" t="s">
        <v>235</v>
      </c>
      <c r="W48" s="3">
        <f t="shared" si="21"/>
        <v>1.3349514563106797</v>
      </c>
      <c r="X48" s="1">
        <f t="shared" si="22"/>
        <v>0</v>
      </c>
      <c r="AC48" s="2">
        <f t="shared" si="23"/>
        <v>618</v>
      </c>
    </row>
    <row r="49" spans="2:29" ht="16" x14ac:dyDescent="0.2">
      <c r="B49" s="18">
        <v>577</v>
      </c>
      <c r="C49" s="18">
        <v>1627</v>
      </c>
      <c r="D49" s="19" t="s">
        <v>176</v>
      </c>
      <c r="E49" s="18">
        <v>626</v>
      </c>
      <c r="F49" s="18">
        <v>1.0000000474974513E-3</v>
      </c>
      <c r="G49" s="3">
        <f t="shared" si="15"/>
        <v>1.2944983818770227E-2</v>
      </c>
      <c r="H49" s="1">
        <f t="shared" si="16"/>
        <v>0</v>
      </c>
      <c r="I49" s="18">
        <v>618</v>
      </c>
      <c r="J49" s="18">
        <v>4.999999888241291E-3</v>
      </c>
      <c r="K49" s="3">
        <f t="shared" si="17"/>
        <v>0</v>
      </c>
      <c r="L49" s="1">
        <f t="shared" si="18"/>
        <v>1</v>
      </c>
      <c r="M49" s="18">
        <v>1001</v>
      </c>
      <c r="N49" s="18" t="s">
        <v>235</v>
      </c>
      <c r="O49" s="3">
        <f t="shared" si="19"/>
        <v>0.61974110032362462</v>
      </c>
      <c r="P49" s="18"/>
      <c r="Q49" s="18">
        <v>996</v>
      </c>
      <c r="R49" s="18" t="s">
        <v>235</v>
      </c>
      <c r="S49" s="3">
        <f t="shared" si="20"/>
        <v>0.61165048543689315</v>
      </c>
      <c r="T49" s="33"/>
      <c r="U49" s="18">
        <v>1443</v>
      </c>
      <c r="V49" s="18" t="s">
        <v>235</v>
      </c>
      <c r="W49" s="3">
        <f t="shared" si="21"/>
        <v>1.3349514563106797</v>
      </c>
      <c r="X49" s="1">
        <f t="shared" si="22"/>
        <v>0</v>
      </c>
      <c r="AC49" s="2">
        <f t="shared" si="23"/>
        <v>618</v>
      </c>
    </row>
    <row r="50" spans="2:29" ht="17" customHeight="1" x14ac:dyDescent="0.2">
      <c r="B50" s="18">
        <v>32</v>
      </c>
      <c r="C50" s="18">
        <v>124</v>
      </c>
      <c r="D50" s="19" t="s">
        <v>177</v>
      </c>
      <c r="E50" s="18">
        <v>26</v>
      </c>
      <c r="F50" s="18">
        <v>0</v>
      </c>
      <c r="G50" s="3">
        <f t="shared" si="15"/>
        <v>0</v>
      </c>
      <c r="H50" s="1">
        <f t="shared" si="16"/>
        <v>1</v>
      </c>
      <c r="I50" s="18">
        <v>26</v>
      </c>
      <c r="J50" s="18">
        <v>0</v>
      </c>
      <c r="K50" s="3">
        <f t="shared" si="17"/>
        <v>0</v>
      </c>
      <c r="L50" s="1">
        <f t="shared" si="18"/>
        <v>1</v>
      </c>
      <c r="M50" s="18">
        <v>36</v>
      </c>
      <c r="N50" s="18" t="s">
        <v>235</v>
      </c>
      <c r="O50" s="3">
        <f t="shared" si="19"/>
        <v>0.38461538461538464</v>
      </c>
      <c r="P50" s="18"/>
      <c r="Q50" s="18">
        <v>36</v>
      </c>
      <c r="R50" s="18" t="s">
        <v>235</v>
      </c>
      <c r="S50" s="3">
        <f t="shared" si="20"/>
        <v>0.38461538461538464</v>
      </c>
      <c r="T50" s="33"/>
      <c r="U50" s="18">
        <v>42</v>
      </c>
      <c r="V50" s="18" t="s">
        <v>235</v>
      </c>
      <c r="W50" s="3">
        <f t="shared" si="21"/>
        <v>0.61538461538461542</v>
      </c>
      <c r="X50" s="1">
        <f t="shared" si="22"/>
        <v>0</v>
      </c>
      <c r="AC50" s="2">
        <f t="shared" si="23"/>
        <v>26</v>
      </c>
    </row>
    <row r="51" spans="2:29" ht="16" x14ac:dyDescent="0.2">
      <c r="B51" s="18">
        <v>120</v>
      </c>
      <c r="C51" s="18">
        <v>772</v>
      </c>
      <c r="D51" s="19" t="s">
        <v>178</v>
      </c>
      <c r="E51" s="18">
        <v>170</v>
      </c>
      <c r="F51" s="18">
        <v>1.0000000474974513E-3</v>
      </c>
      <c r="G51" s="3">
        <f t="shared" si="15"/>
        <v>2.4096385542168676E-2</v>
      </c>
      <c r="H51" s="1">
        <f t="shared" si="16"/>
        <v>0</v>
      </c>
      <c r="I51" s="18">
        <v>166</v>
      </c>
      <c r="J51" s="18">
        <v>1.0000000474974513E-3</v>
      </c>
      <c r="K51" s="3">
        <f t="shared" si="17"/>
        <v>0</v>
      </c>
      <c r="L51" s="1">
        <f t="shared" si="18"/>
        <v>1</v>
      </c>
      <c r="M51" s="18">
        <v>264</v>
      </c>
      <c r="N51" s="18" t="s">
        <v>235</v>
      </c>
      <c r="O51" s="3">
        <f t="shared" si="19"/>
        <v>0.59036144578313254</v>
      </c>
      <c r="P51" s="18"/>
      <c r="Q51" s="18">
        <v>264</v>
      </c>
      <c r="R51" s="18" t="s">
        <v>235</v>
      </c>
      <c r="S51" s="3">
        <f t="shared" si="20"/>
        <v>0.59036144578313254</v>
      </c>
      <c r="T51" s="33"/>
      <c r="U51" s="18">
        <v>291</v>
      </c>
      <c r="V51" s="18" t="s">
        <v>235</v>
      </c>
      <c r="W51" s="3">
        <f t="shared" si="21"/>
        <v>0.75301204819277112</v>
      </c>
      <c r="X51" s="1">
        <f t="shared" si="22"/>
        <v>0</v>
      </c>
      <c r="AC51" s="2">
        <f t="shared" si="23"/>
        <v>166</v>
      </c>
    </row>
    <row r="52" spans="2:29" ht="16" x14ac:dyDescent="0.2">
      <c r="B52" s="18">
        <v>197</v>
      </c>
      <c r="C52" s="18">
        <v>1267</v>
      </c>
      <c r="D52" s="19" t="s">
        <v>13</v>
      </c>
      <c r="E52" s="18">
        <v>341</v>
      </c>
      <c r="F52" s="18">
        <v>2.0000000949949026E-3</v>
      </c>
      <c r="G52" s="3">
        <f t="shared" si="15"/>
        <v>1.1869436201780416E-2</v>
      </c>
      <c r="H52" s="1">
        <f t="shared" si="16"/>
        <v>0</v>
      </c>
      <c r="I52" s="18">
        <v>337</v>
      </c>
      <c r="J52" s="18">
        <v>1.0000000474974513E-3</v>
      </c>
      <c r="K52" s="3">
        <f t="shared" si="17"/>
        <v>0</v>
      </c>
      <c r="L52" s="1">
        <f t="shared" si="18"/>
        <v>1</v>
      </c>
      <c r="M52" s="18">
        <v>527</v>
      </c>
      <c r="N52" s="18" t="s">
        <v>235</v>
      </c>
      <c r="O52" s="3">
        <f t="shared" si="19"/>
        <v>0.56379821958456977</v>
      </c>
      <c r="P52" s="18"/>
      <c r="Q52" s="18">
        <v>528</v>
      </c>
      <c r="R52" s="18" t="s">
        <v>235</v>
      </c>
      <c r="S52" s="3">
        <f t="shared" si="20"/>
        <v>0.56676557863501487</v>
      </c>
      <c r="T52" s="33"/>
      <c r="U52" s="18">
        <v>579</v>
      </c>
      <c r="V52" s="18" t="s">
        <v>235</v>
      </c>
      <c r="W52" s="3">
        <f t="shared" si="21"/>
        <v>0.71810089020771517</v>
      </c>
      <c r="X52" s="1">
        <f t="shared" si="22"/>
        <v>0</v>
      </c>
      <c r="AC52" s="2">
        <f t="shared" si="23"/>
        <v>337</v>
      </c>
    </row>
    <row r="53" spans="2:29" ht="16" x14ac:dyDescent="0.2">
      <c r="B53" s="18">
        <v>11</v>
      </c>
      <c r="C53" s="18">
        <v>91</v>
      </c>
      <c r="D53" s="19" t="s">
        <v>179</v>
      </c>
      <c r="E53" s="18">
        <v>25</v>
      </c>
      <c r="F53" s="18">
        <v>0</v>
      </c>
      <c r="G53" s="3">
        <f t="shared" si="15"/>
        <v>0</v>
      </c>
      <c r="H53" s="1">
        <f t="shared" si="16"/>
        <v>1</v>
      </c>
      <c r="I53" s="18">
        <v>27</v>
      </c>
      <c r="J53" s="18">
        <v>0</v>
      </c>
      <c r="K53" s="3">
        <f t="shared" si="17"/>
        <v>0.08</v>
      </c>
      <c r="L53" s="1">
        <f t="shared" si="18"/>
        <v>0</v>
      </c>
      <c r="M53" s="18">
        <v>35</v>
      </c>
      <c r="N53" s="18" t="s">
        <v>235</v>
      </c>
      <c r="O53" s="3">
        <f t="shared" si="19"/>
        <v>0.4</v>
      </c>
      <c r="P53" s="18"/>
      <c r="Q53" s="18">
        <v>33</v>
      </c>
      <c r="R53" s="18" t="s">
        <v>235</v>
      </c>
      <c r="S53" s="3">
        <f t="shared" si="20"/>
        <v>0.32</v>
      </c>
      <c r="T53" s="33"/>
      <c r="U53" s="18">
        <v>36</v>
      </c>
      <c r="V53" s="18" t="s">
        <v>235</v>
      </c>
      <c r="W53" s="3">
        <f t="shared" si="21"/>
        <v>0.44</v>
      </c>
      <c r="X53" s="1">
        <f t="shared" si="22"/>
        <v>0</v>
      </c>
      <c r="AC53" s="2">
        <f t="shared" si="23"/>
        <v>25</v>
      </c>
    </row>
    <row r="54" spans="2:29" ht="16" x14ac:dyDescent="0.2">
      <c r="B54" s="18">
        <v>50</v>
      </c>
      <c r="C54" s="18">
        <v>382</v>
      </c>
      <c r="D54" s="19" t="s">
        <v>193</v>
      </c>
      <c r="E54" s="18">
        <v>84</v>
      </c>
      <c r="F54" s="18">
        <v>0</v>
      </c>
      <c r="G54" s="3">
        <f t="shared" si="15"/>
        <v>0</v>
      </c>
      <c r="H54" s="1">
        <f t="shared" si="16"/>
        <v>1</v>
      </c>
      <c r="I54" s="18">
        <v>87</v>
      </c>
      <c r="J54" s="18">
        <v>0</v>
      </c>
      <c r="K54" s="3">
        <f t="shared" si="17"/>
        <v>3.5714285714285712E-2</v>
      </c>
      <c r="L54" s="1">
        <f t="shared" si="18"/>
        <v>0</v>
      </c>
      <c r="M54" s="18">
        <v>120</v>
      </c>
      <c r="N54" s="18" t="s">
        <v>235</v>
      </c>
      <c r="O54" s="3">
        <f t="shared" si="19"/>
        <v>0.42857142857142855</v>
      </c>
      <c r="P54" s="18"/>
      <c r="Q54" s="18">
        <v>126</v>
      </c>
      <c r="R54" s="18" t="s">
        <v>235</v>
      </c>
      <c r="S54" s="3">
        <f t="shared" si="20"/>
        <v>0.5</v>
      </c>
      <c r="T54" s="33"/>
      <c r="U54" s="18">
        <v>153</v>
      </c>
      <c r="V54" s="18" t="s">
        <v>235</v>
      </c>
      <c r="W54" s="3">
        <f t="shared" si="21"/>
        <v>0.8214285714285714</v>
      </c>
      <c r="X54" s="1">
        <f t="shared" si="22"/>
        <v>0</v>
      </c>
      <c r="AC54" s="2">
        <f t="shared" si="23"/>
        <v>84</v>
      </c>
    </row>
    <row r="55" spans="2:29" ht="16" x14ac:dyDescent="0.2">
      <c r="B55" s="18">
        <v>55</v>
      </c>
      <c r="C55" s="18">
        <v>668</v>
      </c>
      <c r="D55" s="19" t="s">
        <v>194</v>
      </c>
      <c r="E55" s="18">
        <v>204</v>
      </c>
      <c r="F55" s="18">
        <v>0</v>
      </c>
      <c r="G55" s="3">
        <f t="shared" si="15"/>
        <v>0</v>
      </c>
      <c r="H55" s="1">
        <f t="shared" si="16"/>
        <v>1</v>
      </c>
      <c r="I55" s="18">
        <v>210</v>
      </c>
      <c r="J55" s="18">
        <v>1.0000000474974513E-3</v>
      </c>
      <c r="K55" s="3">
        <f t="shared" si="17"/>
        <v>2.9411764705882353E-2</v>
      </c>
      <c r="L55" s="1">
        <f t="shared" si="18"/>
        <v>0</v>
      </c>
      <c r="M55" s="18">
        <v>242</v>
      </c>
      <c r="N55" s="18" t="s">
        <v>235</v>
      </c>
      <c r="O55" s="3">
        <f t="shared" si="19"/>
        <v>0.18627450980392157</v>
      </c>
      <c r="P55" s="18"/>
      <c r="Q55" s="18">
        <v>240</v>
      </c>
      <c r="R55" s="18" t="s">
        <v>235</v>
      </c>
      <c r="S55" s="3">
        <f t="shared" si="20"/>
        <v>0.17647058823529413</v>
      </c>
      <c r="T55" s="33"/>
      <c r="U55" s="18">
        <v>252</v>
      </c>
      <c r="V55" s="18" t="s">
        <v>235</v>
      </c>
      <c r="W55" s="3">
        <f t="shared" si="21"/>
        <v>0.23529411764705882</v>
      </c>
      <c r="X55" s="1">
        <f t="shared" si="22"/>
        <v>0</v>
      </c>
      <c r="AC55" s="2">
        <f t="shared" si="23"/>
        <v>204</v>
      </c>
    </row>
    <row r="56" spans="2:29" ht="16" x14ac:dyDescent="0.2">
      <c r="B56" s="18">
        <v>135</v>
      </c>
      <c r="C56" s="18">
        <v>833</v>
      </c>
      <c r="D56" s="19" t="s">
        <v>195</v>
      </c>
      <c r="E56" s="18">
        <v>282</v>
      </c>
      <c r="F56" s="18">
        <v>0</v>
      </c>
      <c r="G56" s="3">
        <f t="shared" si="15"/>
        <v>3.2967032967032968E-2</v>
      </c>
      <c r="H56" s="1">
        <f t="shared" si="16"/>
        <v>0</v>
      </c>
      <c r="I56" s="18">
        <v>273</v>
      </c>
      <c r="J56" s="18">
        <v>0</v>
      </c>
      <c r="K56" s="3">
        <f t="shared" si="17"/>
        <v>0</v>
      </c>
      <c r="L56" s="1">
        <f t="shared" si="18"/>
        <v>1</v>
      </c>
      <c r="M56" s="18">
        <v>359</v>
      </c>
      <c r="N56" s="18" t="s">
        <v>235</v>
      </c>
      <c r="O56" s="3">
        <f t="shared" si="19"/>
        <v>0.31501831501831501</v>
      </c>
      <c r="P56" s="18"/>
      <c r="Q56" s="18">
        <v>363</v>
      </c>
      <c r="R56" s="18" t="s">
        <v>235</v>
      </c>
      <c r="S56" s="3">
        <f t="shared" si="20"/>
        <v>0.32967032967032966</v>
      </c>
      <c r="T56" s="33"/>
      <c r="U56" s="18">
        <v>339</v>
      </c>
      <c r="V56" s="18" t="s">
        <v>235</v>
      </c>
      <c r="W56" s="3">
        <f t="shared" si="21"/>
        <v>0.24175824175824176</v>
      </c>
      <c r="X56" s="1">
        <f t="shared" si="22"/>
        <v>0</v>
      </c>
      <c r="AC56" s="2">
        <f t="shared" si="23"/>
        <v>273</v>
      </c>
    </row>
    <row r="57" spans="2:29" ht="16" x14ac:dyDescent="0.2">
      <c r="B57" s="18">
        <v>103</v>
      </c>
      <c r="C57" s="18">
        <v>913</v>
      </c>
      <c r="D57" s="19" t="s">
        <v>196</v>
      </c>
      <c r="E57" s="18">
        <v>379</v>
      </c>
      <c r="F57" s="18">
        <v>1.0000000474974513E-3</v>
      </c>
      <c r="G57" s="3">
        <f t="shared" si="15"/>
        <v>2.6455026455026454E-3</v>
      </c>
      <c r="H57" s="1">
        <f t="shared" si="16"/>
        <v>0</v>
      </c>
      <c r="I57" s="18">
        <v>378</v>
      </c>
      <c r="J57" s="18">
        <v>1.0000000474974513E-3</v>
      </c>
      <c r="K57" s="3">
        <f t="shared" si="17"/>
        <v>0</v>
      </c>
      <c r="L57" s="1">
        <f t="shared" si="18"/>
        <v>1</v>
      </c>
      <c r="M57" s="18">
        <v>422</v>
      </c>
      <c r="N57" s="18" t="s">
        <v>235</v>
      </c>
      <c r="O57" s="3">
        <f t="shared" si="19"/>
        <v>0.1164021164021164</v>
      </c>
      <c r="P57" s="18"/>
      <c r="Q57" s="18">
        <v>425</v>
      </c>
      <c r="R57" s="18" t="s">
        <v>235</v>
      </c>
      <c r="S57" s="3">
        <f t="shared" si="20"/>
        <v>0.12433862433862433</v>
      </c>
      <c r="T57" s="33"/>
      <c r="U57" s="18">
        <v>425</v>
      </c>
      <c r="V57" s="18" t="s">
        <v>235</v>
      </c>
      <c r="W57" s="3">
        <f t="shared" si="21"/>
        <v>0.12433862433862433</v>
      </c>
      <c r="X57" s="1">
        <f t="shared" si="22"/>
        <v>0</v>
      </c>
      <c r="AC57" s="2">
        <f t="shared" si="23"/>
        <v>378</v>
      </c>
    </row>
    <row r="58" spans="2:29" ht="16" x14ac:dyDescent="0.2">
      <c r="B58" s="18">
        <v>54</v>
      </c>
      <c r="C58" s="18">
        <v>312</v>
      </c>
      <c r="D58" s="19" t="s">
        <v>180</v>
      </c>
      <c r="E58" s="18">
        <v>93</v>
      </c>
      <c r="F58" s="18">
        <v>0</v>
      </c>
      <c r="G58" s="3">
        <f t="shared" si="15"/>
        <v>3.3333333333333333E-2</v>
      </c>
      <c r="H58" s="1">
        <f t="shared" si="16"/>
        <v>0</v>
      </c>
      <c r="I58" s="18">
        <v>90</v>
      </c>
      <c r="J58" s="18">
        <v>0</v>
      </c>
      <c r="K58" s="3">
        <f t="shared" si="17"/>
        <v>0</v>
      </c>
      <c r="L58" s="1">
        <f t="shared" si="18"/>
        <v>1</v>
      </c>
      <c r="M58" s="18">
        <v>92</v>
      </c>
      <c r="N58" s="18" t="s">
        <v>235</v>
      </c>
      <c r="O58" s="3">
        <f t="shared" si="19"/>
        <v>2.2222222222222223E-2</v>
      </c>
      <c r="P58" s="18"/>
      <c r="Q58" s="18">
        <v>96</v>
      </c>
      <c r="R58" s="18" t="s">
        <v>235</v>
      </c>
      <c r="S58" s="3">
        <f t="shared" si="20"/>
        <v>6.6666666666666666E-2</v>
      </c>
      <c r="T58" s="33"/>
      <c r="U58" s="18">
        <v>111</v>
      </c>
      <c r="V58" s="18" t="s">
        <v>235</v>
      </c>
      <c r="W58" s="3">
        <f t="shared" si="21"/>
        <v>0.23333333333333334</v>
      </c>
      <c r="X58" s="1">
        <f t="shared" si="22"/>
        <v>0</v>
      </c>
      <c r="AC58" s="2">
        <f t="shared" si="23"/>
        <v>90</v>
      </c>
    </row>
    <row r="59" spans="2:29" ht="16" x14ac:dyDescent="0.2">
      <c r="B59" s="18">
        <v>20</v>
      </c>
      <c r="C59" s="18">
        <v>193</v>
      </c>
      <c r="D59" s="19" t="s">
        <v>181</v>
      </c>
      <c r="E59" s="18">
        <v>51</v>
      </c>
      <c r="F59" s="18">
        <v>0</v>
      </c>
      <c r="G59" s="3">
        <f t="shared" si="15"/>
        <v>8.5106382978723402E-2</v>
      </c>
      <c r="H59" s="1">
        <f t="shared" si="16"/>
        <v>0</v>
      </c>
      <c r="I59" s="18">
        <v>48</v>
      </c>
      <c r="J59" s="18">
        <v>0</v>
      </c>
      <c r="K59" s="3">
        <f t="shared" si="17"/>
        <v>2.1276595744680851E-2</v>
      </c>
      <c r="L59" s="1">
        <f t="shared" si="18"/>
        <v>0</v>
      </c>
      <c r="M59" s="18">
        <v>47</v>
      </c>
      <c r="N59" s="18" t="s">
        <v>235</v>
      </c>
      <c r="O59" s="3">
        <f t="shared" si="19"/>
        <v>0</v>
      </c>
      <c r="P59" s="18"/>
      <c r="Q59" s="18">
        <v>48</v>
      </c>
      <c r="R59" s="18" t="s">
        <v>235</v>
      </c>
      <c r="S59" s="3">
        <f t="shared" si="20"/>
        <v>2.1276595744680851E-2</v>
      </c>
      <c r="T59" s="33"/>
      <c r="U59" s="18">
        <v>57</v>
      </c>
      <c r="V59" s="18" t="s">
        <v>235</v>
      </c>
      <c r="W59" s="3">
        <f t="shared" si="21"/>
        <v>0.21276595744680851</v>
      </c>
      <c r="X59" s="1">
        <f t="shared" si="22"/>
        <v>0</v>
      </c>
      <c r="AC59" s="2">
        <f t="shared" si="23"/>
        <v>47</v>
      </c>
    </row>
    <row r="60" spans="2:29" ht="16" x14ac:dyDescent="0.2">
      <c r="B60" s="18">
        <v>37</v>
      </c>
      <c r="C60" s="18">
        <v>310</v>
      </c>
      <c r="D60" s="19" t="s">
        <v>182</v>
      </c>
      <c r="E60" s="18">
        <v>105</v>
      </c>
      <c r="F60" s="18">
        <v>1.0000000474974513E-3</v>
      </c>
      <c r="G60" s="3">
        <f t="shared" si="15"/>
        <v>0</v>
      </c>
      <c r="H60" s="1">
        <f t="shared" si="16"/>
        <v>1</v>
      </c>
      <c r="I60" s="18">
        <v>106</v>
      </c>
      <c r="J60" s="18">
        <v>0</v>
      </c>
      <c r="K60" s="3">
        <f t="shared" si="17"/>
        <v>9.5238095238095247E-3</v>
      </c>
      <c r="L60" s="1">
        <f t="shared" si="18"/>
        <v>0</v>
      </c>
      <c r="M60" s="18">
        <v>116</v>
      </c>
      <c r="N60" s="18" t="s">
        <v>235</v>
      </c>
      <c r="O60" s="3">
        <f t="shared" si="19"/>
        <v>0.10476190476190476</v>
      </c>
      <c r="P60" s="18"/>
      <c r="Q60" s="18">
        <v>123</v>
      </c>
      <c r="R60" s="18" t="s">
        <v>235</v>
      </c>
      <c r="S60" s="3">
        <f t="shared" si="20"/>
        <v>0.17142857142857143</v>
      </c>
      <c r="T60" s="33"/>
      <c r="U60" s="18">
        <v>123</v>
      </c>
      <c r="V60" s="18" t="s">
        <v>235</v>
      </c>
      <c r="W60" s="3">
        <f t="shared" si="21"/>
        <v>0.17142857142857143</v>
      </c>
      <c r="X60" s="1">
        <f t="shared" si="22"/>
        <v>0</v>
      </c>
      <c r="AC60" s="2">
        <f t="shared" si="23"/>
        <v>105</v>
      </c>
    </row>
    <row r="61" spans="2:29" ht="16" x14ac:dyDescent="0.2">
      <c r="B61" s="18">
        <v>56</v>
      </c>
      <c r="C61" s="18">
        <v>328</v>
      </c>
      <c r="D61" s="19" t="s">
        <v>183</v>
      </c>
      <c r="E61" s="18">
        <v>111</v>
      </c>
      <c r="F61" s="18">
        <v>0</v>
      </c>
      <c r="G61" s="3">
        <f t="shared" si="15"/>
        <v>2.7777777777777776E-2</v>
      </c>
      <c r="H61" s="1">
        <f t="shared" si="16"/>
        <v>0</v>
      </c>
      <c r="I61" s="18">
        <v>108</v>
      </c>
      <c r="J61" s="18">
        <v>0</v>
      </c>
      <c r="K61" s="3">
        <f t="shared" si="17"/>
        <v>0</v>
      </c>
      <c r="L61" s="1">
        <f t="shared" si="18"/>
        <v>1</v>
      </c>
      <c r="M61" s="18">
        <v>131</v>
      </c>
      <c r="N61" s="18" t="s">
        <v>235</v>
      </c>
      <c r="O61" s="3">
        <f t="shared" si="19"/>
        <v>0.21296296296296297</v>
      </c>
      <c r="P61" s="18"/>
      <c r="Q61" s="18">
        <v>132</v>
      </c>
      <c r="R61" s="18" t="s">
        <v>235</v>
      </c>
      <c r="S61" s="3">
        <f t="shared" si="20"/>
        <v>0.22222222222222221</v>
      </c>
      <c r="T61" s="33"/>
      <c r="U61" s="18">
        <v>123</v>
      </c>
      <c r="V61" s="18" t="s">
        <v>235</v>
      </c>
      <c r="W61" s="3">
        <f t="shared" si="21"/>
        <v>0.1388888888888889</v>
      </c>
      <c r="X61" s="1">
        <f t="shared" si="22"/>
        <v>0</v>
      </c>
      <c r="AC61" s="2">
        <f t="shared" si="23"/>
        <v>108</v>
      </c>
    </row>
    <row r="62" spans="2:29" ht="16" x14ac:dyDescent="0.2">
      <c r="B62" s="18">
        <v>57</v>
      </c>
      <c r="C62" s="18">
        <v>473</v>
      </c>
      <c r="D62" s="19" t="s">
        <v>184</v>
      </c>
      <c r="E62" s="18">
        <v>191</v>
      </c>
      <c r="F62" s="18">
        <v>1.0000000474974513E-3</v>
      </c>
      <c r="G62" s="3">
        <f t="shared" si="15"/>
        <v>0</v>
      </c>
      <c r="H62" s="1">
        <f t="shared" si="16"/>
        <v>1</v>
      </c>
      <c r="I62" s="18">
        <v>192</v>
      </c>
      <c r="J62" s="18">
        <v>0</v>
      </c>
      <c r="K62" s="3">
        <f t="shared" si="17"/>
        <v>5.235602094240838E-3</v>
      </c>
      <c r="L62" s="1">
        <f t="shared" si="18"/>
        <v>0</v>
      </c>
      <c r="M62" s="18">
        <v>218</v>
      </c>
      <c r="N62" s="18" t="s">
        <v>235</v>
      </c>
      <c r="O62" s="3">
        <f t="shared" si="19"/>
        <v>0.14136125654450263</v>
      </c>
      <c r="P62" s="18"/>
      <c r="Q62" s="18">
        <v>219</v>
      </c>
      <c r="R62" s="18" t="s">
        <v>235</v>
      </c>
      <c r="S62" s="3">
        <f t="shared" si="20"/>
        <v>0.14659685863874344</v>
      </c>
      <c r="T62" s="33"/>
      <c r="U62" s="18">
        <v>234</v>
      </c>
      <c r="V62" s="18" t="s">
        <v>235</v>
      </c>
      <c r="W62" s="3">
        <f t="shared" si="21"/>
        <v>0.22513089005235601</v>
      </c>
      <c r="X62" s="1">
        <f t="shared" si="22"/>
        <v>0</v>
      </c>
      <c r="AC62" s="2">
        <f t="shared" si="23"/>
        <v>191</v>
      </c>
    </row>
    <row r="63" spans="2:29" ht="16" x14ac:dyDescent="0.2">
      <c r="B63" s="18">
        <v>85</v>
      </c>
      <c r="C63" s="18">
        <v>460</v>
      </c>
      <c r="D63" s="19" t="s">
        <v>185</v>
      </c>
      <c r="E63" s="18">
        <v>157</v>
      </c>
      <c r="F63" s="18">
        <v>0</v>
      </c>
      <c r="G63" s="3">
        <f t="shared" si="15"/>
        <v>0</v>
      </c>
      <c r="H63" s="1">
        <f t="shared" si="16"/>
        <v>1</v>
      </c>
      <c r="I63" s="18">
        <v>165</v>
      </c>
      <c r="J63" s="18">
        <v>0</v>
      </c>
      <c r="K63" s="3">
        <f t="shared" si="17"/>
        <v>5.0955414012738856E-2</v>
      </c>
      <c r="L63" s="1">
        <f t="shared" si="18"/>
        <v>0</v>
      </c>
      <c r="M63" s="18">
        <v>174</v>
      </c>
      <c r="N63" s="18" t="s">
        <v>235</v>
      </c>
      <c r="O63" s="3">
        <f t="shared" si="19"/>
        <v>0.10828025477707007</v>
      </c>
      <c r="P63" s="18"/>
      <c r="Q63" s="18">
        <v>174</v>
      </c>
      <c r="R63" s="18" t="s">
        <v>235</v>
      </c>
      <c r="S63" s="3">
        <f t="shared" si="20"/>
        <v>0.10828025477707007</v>
      </c>
      <c r="T63" s="33"/>
      <c r="U63" s="18">
        <v>195</v>
      </c>
      <c r="V63" s="18" t="s">
        <v>235</v>
      </c>
      <c r="W63" s="3">
        <f t="shared" si="21"/>
        <v>0.24203821656050956</v>
      </c>
      <c r="X63" s="1">
        <f t="shared" si="22"/>
        <v>0</v>
      </c>
      <c r="AC63" s="2">
        <f t="shared" si="23"/>
        <v>157</v>
      </c>
    </row>
    <row r="64" spans="2:29" ht="16" x14ac:dyDescent="0.2">
      <c r="B64" s="18">
        <v>121</v>
      </c>
      <c r="C64" s="18">
        <v>536</v>
      </c>
      <c r="D64" s="19" t="s">
        <v>14</v>
      </c>
      <c r="E64" s="18">
        <v>181</v>
      </c>
      <c r="F64" s="18">
        <v>1.0000000474974513E-3</v>
      </c>
      <c r="G64" s="3">
        <f t="shared" si="15"/>
        <v>0</v>
      </c>
      <c r="H64" s="1">
        <f t="shared" si="16"/>
        <v>1</v>
      </c>
      <c r="I64" s="18">
        <v>182</v>
      </c>
      <c r="J64" s="18">
        <v>1.0000000474974513E-3</v>
      </c>
      <c r="K64" s="3">
        <f t="shared" si="17"/>
        <v>5.5248618784530384E-3</v>
      </c>
      <c r="L64" s="1">
        <f t="shared" si="18"/>
        <v>0</v>
      </c>
      <c r="M64" s="18">
        <v>197</v>
      </c>
      <c r="N64" s="18" t="s">
        <v>235</v>
      </c>
      <c r="O64" s="3">
        <f t="shared" si="19"/>
        <v>8.8397790055248615E-2</v>
      </c>
      <c r="P64" s="18"/>
      <c r="Q64" s="18">
        <v>199</v>
      </c>
      <c r="R64" s="18" t="s">
        <v>235</v>
      </c>
      <c r="S64" s="3">
        <f t="shared" si="20"/>
        <v>9.9447513812154692E-2</v>
      </c>
      <c r="T64" s="33"/>
      <c r="U64" s="18">
        <v>243</v>
      </c>
      <c r="V64" s="18" t="s">
        <v>235</v>
      </c>
      <c r="W64" s="3">
        <f t="shared" si="21"/>
        <v>0.34254143646408841</v>
      </c>
      <c r="X64" s="1">
        <f t="shared" si="22"/>
        <v>0</v>
      </c>
      <c r="AC64" s="2">
        <f t="shared" si="23"/>
        <v>181</v>
      </c>
    </row>
    <row r="65" spans="2:29" ht="16" x14ac:dyDescent="0.2">
      <c r="B65" s="18">
        <v>97</v>
      </c>
      <c r="C65" s="18">
        <v>499</v>
      </c>
      <c r="D65" s="19" t="s">
        <v>186</v>
      </c>
      <c r="E65" s="18">
        <v>201</v>
      </c>
      <c r="F65" s="18">
        <v>0</v>
      </c>
      <c r="G65" s="3">
        <f t="shared" si="15"/>
        <v>8.0645161290322578E-2</v>
      </c>
      <c r="H65" s="1">
        <f t="shared" si="16"/>
        <v>0</v>
      </c>
      <c r="I65" s="18">
        <v>186</v>
      </c>
      <c r="J65" s="18">
        <v>0</v>
      </c>
      <c r="K65" s="3">
        <f t="shared" si="17"/>
        <v>0</v>
      </c>
      <c r="L65" s="1">
        <f t="shared" si="18"/>
        <v>1</v>
      </c>
      <c r="M65" s="18">
        <v>242</v>
      </c>
      <c r="N65" s="18" t="s">
        <v>235</v>
      </c>
      <c r="O65" s="3">
        <f t="shared" si="19"/>
        <v>0.30107526881720431</v>
      </c>
      <c r="P65" s="18"/>
      <c r="Q65" s="18">
        <v>240</v>
      </c>
      <c r="R65" s="18" t="s">
        <v>235</v>
      </c>
      <c r="S65" s="3">
        <f t="shared" si="20"/>
        <v>0.29032258064516131</v>
      </c>
      <c r="T65" s="33"/>
      <c r="U65" s="18">
        <v>246</v>
      </c>
      <c r="V65" s="18" t="s">
        <v>235</v>
      </c>
      <c r="W65" s="3">
        <f t="shared" si="21"/>
        <v>0.32258064516129031</v>
      </c>
      <c r="X65" s="1">
        <f t="shared" si="22"/>
        <v>0</v>
      </c>
      <c r="AC65" s="2">
        <f t="shared" si="23"/>
        <v>186</v>
      </c>
    </row>
    <row r="66" spans="2:29" ht="16" x14ac:dyDescent="0.2">
      <c r="B66" s="18">
        <v>61</v>
      </c>
      <c r="C66" s="18">
        <v>747</v>
      </c>
      <c r="D66" s="19" t="s">
        <v>187</v>
      </c>
      <c r="E66" s="18">
        <v>201</v>
      </c>
      <c r="F66" s="18">
        <v>0</v>
      </c>
      <c r="G66" s="3">
        <f t="shared" si="15"/>
        <v>1.5151515151515152E-2</v>
      </c>
      <c r="H66" s="1">
        <f t="shared" si="16"/>
        <v>0</v>
      </c>
      <c r="I66" s="18">
        <v>198</v>
      </c>
      <c r="J66" s="18">
        <v>0</v>
      </c>
      <c r="K66" s="3">
        <f t="shared" si="17"/>
        <v>0</v>
      </c>
      <c r="L66" s="1">
        <f t="shared" si="18"/>
        <v>1</v>
      </c>
      <c r="M66" s="18">
        <v>236</v>
      </c>
      <c r="N66" s="18" t="s">
        <v>235</v>
      </c>
      <c r="O66" s="3">
        <f t="shared" si="19"/>
        <v>0.19191919191919191</v>
      </c>
      <c r="P66" s="18"/>
      <c r="Q66" s="18">
        <v>237</v>
      </c>
      <c r="R66" s="18" t="s">
        <v>235</v>
      </c>
      <c r="S66" s="3">
        <f t="shared" si="20"/>
        <v>0.19696969696969696</v>
      </c>
      <c r="T66" s="33"/>
      <c r="U66" s="18">
        <v>246</v>
      </c>
      <c r="V66" s="18" t="s">
        <v>235</v>
      </c>
      <c r="W66" s="3">
        <f t="shared" si="21"/>
        <v>0.24242424242424243</v>
      </c>
      <c r="X66" s="1">
        <f t="shared" si="22"/>
        <v>0</v>
      </c>
      <c r="AC66" s="2">
        <f t="shared" si="23"/>
        <v>198</v>
      </c>
    </row>
    <row r="67" spans="2:29" ht="16" x14ac:dyDescent="0.2">
      <c r="B67" s="18">
        <v>30</v>
      </c>
      <c r="C67" s="18">
        <v>113</v>
      </c>
      <c r="D67" s="19" t="s">
        <v>15</v>
      </c>
      <c r="E67" s="18">
        <v>51</v>
      </c>
      <c r="F67" s="18">
        <v>0</v>
      </c>
      <c r="G67" s="3">
        <f t="shared" si="15"/>
        <v>0.02</v>
      </c>
      <c r="H67" s="1">
        <f t="shared" si="16"/>
        <v>0</v>
      </c>
      <c r="I67" s="18">
        <v>51</v>
      </c>
      <c r="J67" s="18">
        <v>0</v>
      </c>
      <c r="K67" s="3">
        <f t="shared" si="17"/>
        <v>0.02</v>
      </c>
      <c r="L67" s="1">
        <f t="shared" si="18"/>
        <v>0</v>
      </c>
      <c r="M67" s="18">
        <v>50</v>
      </c>
      <c r="N67" s="18" t="s">
        <v>235</v>
      </c>
      <c r="O67" s="3">
        <f t="shared" si="19"/>
        <v>0</v>
      </c>
      <c r="P67" s="18"/>
      <c r="Q67" s="18">
        <v>51</v>
      </c>
      <c r="R67" s="18" t="s">
        <v>235</v>
      </c>
      <c r="S67" s="3">
        <f t="shared" si="20"/>
        <v>0.02</v>
      </c>
      <c r="T67" s="33"/>
      <c r="U67" s="18">
        <v>60</v>
      </c>
      <c r="V67" s="18" t="s">
        <v>235</v>
      </c>
      <c r="W67" s="3">
        <f t="shared" si="21"/>
        <v>0.2</v>
      </c>
      <c r="X67" s="1">
        <f t="shared" si="22"/>
        <v>0</v>
      </c>
      <c r="AC67" s="2">
        <f t="shared" si="23"/>
        <v>50</v>
      </c>
    </row>
    <row r="68" spans="2:29" ht="16" x14ac:dyDescent="0.2">
      <c r="B68" s="18">
        <v>33</v>
      </c>
      <c r="C68" s="18">
        <v>127</v>
      </c>
      <c r="D68" s="19" t="s">
        <v>188</v>
      </c>
      <c r="E68" s="18">
        <v>48</v>
      </c>
      <c r="F68" s="18">
        <v>0</v>
      </c>
      <c r="G68" s="3">
        <f t="shared" si="15"/>
        <v>6.6666666666666666E-2</v>
      </c>
      <c r="H68" s="1">
        <f t="shared" si="16"/>
        <v>0</v>
      </c>
      <c r="I68" s="18">
        <v>47</v>
      </c>
      <c r="J68" s="18">
        <v>0</v>
      </c>
      <c r="K68" s="3">
        <f t="shared" si="17"/>
        <v>4.4444444444444446E-2</v>
      </c>
      <c r="L68" s="1">
        <f t="shared" si="18"/>
        <v>0</v>
      </c>
      <c r="M68" s="18">
        <v>45</v>
      </c>
      <c r="N68" s="18" t="s">
        <v>235</v>
      </c>
      <c r="O68" s="3">
        <f t="shared" si="19"/>
        <v>0</v>
      </c>
      <c r="P68" s="18"/>
      <c r="Q68" s="18">
        <v>48</v>
      </c>
      <c r="R68" s="18" t="s">
        <v>235</v>
      </c>
      <c r="S68" s="3">
        <f t="shared" si="20"/>
        <v>6.6666666666666666E-2</v>
      </c>
      <c r="T68" s="33"/>
      <c r="U68" s="18">
        <v>57</v>
      </c>
      <c r="V68" s="18" t="s">
        <v>235</v>
      </c>
      <c r="W68" s="3">
        <f t="shared" si="21"/>
        <v>0.26666666666666666</v>
      </c>
      <c r="X68" s="1">
        <f t="shared" si="22"/>
        <v>0</v>
      </c>
      <c r="AC68" s="2">
        <f t="shared" si="23"/>
        <v>45</v>
      </c>
    </row>
    <row r="69" spans="2:29" ht="16" x14ac:dyDescent="0.2">
      <c r="B69" s="18">
        <v>44</v>
      </c>
      <c r="C69" s="18">
        <v>139</v>
      </c>
      <c r="D69" s="19" t="s">
        <v>189</v>
      </c>
      <c r="E69" s="18">
        <v>83</v>
      </c>
      <c r="F69" s="18">
        <v>0</v>
      </c>
      <c r="G69" s="3">
        <f t="shared" si="15"/>
        <v>2.4691358024691357E-2</v>
      </c>
      <c r="H69" s="1">
        <f t="shared" si="16"/>
        <v>0</v>
      </c>
      <c r="I69" s="18">
        <v>82</v>
      </c>
      <c r="J69" s="18">
        <v>1.0000000474974513E-3</v>
      </c>
      <c r="K69" s="3">
        <f t="shared" si="17"/>
        <v>1.2345679012345678E-2</v>
      </c>
      <c r="L69" s="1">
        <f t="shared" si="18"/>
        <v>0</v>
      </c>
      <c r="M69" s="18">
        <v>81</v>
      </c>
      <c r="N69" s="18" t="s">
        <v>235</v>
      </c>
      <c r="O69" s="3">
        <f t="shared" si="19"/>
        <v>0</v>
      </c>
      <c r="P69" s="18"/>
      <c r="Q69" s="18">
        <v>83</v>
      </c>
      <c r="R69" s="18" t="s">
        <v>235</v>
      </c>
      <c r="S69" s="3">
        <f t="shared" si="20"/>
        <v>2.4691358024691357E-2</v>
      </c>
      <c r="T69" s="33"/>
      <c r="U69" s="18">
        <v>96</v>
      </c>
      <c r="V69" s="18" t="s">
        <v>235</v>
      </c>
      <c r="W69" s="3">
        <f t="shared" si="21"/>
        <v>0.18518518518518517</v>
      </c>
      <c r="X69" s="1">
        <f t="shared" si="22"/>
        <v>0</v>
      </c>
      <c r="AC69" s="2">
        <f t="shared" si="23"/>
        <v>81</v>
      </c>
    </row>
    <row r="70" spans="2:29" ht="16" x14ac:dyDescent="0.2">
      <c r="B70" s="18">
        <v>21</v>
      </c>
      <c r="C70" s="18">
        <v>168</v>
      </c>
      <c r="D70" s="19" t="s">
        <v>190</v>
      </c>
      <c r="E70" s="18">
        <v>51</v>
      </c>
      <c r="F70" s="18">
        <v>0</v>
      </c>
      <c r="G70" s="3">
        <f t="shared" si="15"/>
        <v>0</v>
      </c>
      <c r="H70" s="1">
        <f t="shared" si="16"/>
        <v>1</v>
      </c>
      <c r="I70" s="18">
        <v>52</v>
      </c>
      <c r="J70" s="18">
        <v>0</v>
      </c>
      <c r="K70" s="3">
        <f t="shared" si="17"/>
        <v>1.9607843137254902E-2</v>
      </c>
      <c r="L70" s="1">
        <f t="shared" si="18"/>
        <v>0</v>
      </c>
      <c r="M70" s="18">
        <v>65</v>
      </c>
      <c r="N70" s="18" t="s">
        <v>235</v>
      </c>
      <c r="O70" s="3">
        <f t="shared" si="19"/>
        <v>0.27450980392156865</v>
      </c>
      <c r="P70" s="18"/>
      <c r="Q70" s="18">
        <v>63</v>
      </c>
      <c r="R70" s="18" t="s">
        <v>235</v>
      </c>
      <c r="S70" s="3">
        <f t="shared" si="20"/>
        <v>0.23529411764705882</v>
      </c>
      <c r="T70" s="33"/>
      <c r="U70" s="18">
        <v>63</v>
      </c>
      <c r="V70" s="18" t="s">
        <v>235</v>
      </c>
      <c r="W70" s="3">
        <f t="shared" si="21"/>
        <v>0.23529411764705882</v>
      </c>
      <c r="X70" s="1">
        <f t="shared" si="22"/>
        <v>0</v>
      </c>
      <c r="AC70" s="2">
        <f t="shared" si="23"/>
        <v>51</v>
      </c>
    </row>
    <row r="71" spans="2:29" ht="16" x14ac:dyDescent="0.2">
      <c r="B71" s="18">
        <v>212</v>
      </c>
      <c r="C71" s="18">
        <v>1363</v>
      </c>
      <c r="D71" s="19" t="s">
        <v>191</v>
      </c>
      <c r="E71" s="18">
        <v>411</v>
      </c>
      <c r="F71" s="18">
        <v>1.0000000474974513E-3</v>
      </c>
      <c r="G71" s="3">
        <f t="shared" si="15"/>
        <v>6.4766839378238336E-2</v>
      </c>
      <c r="H71" s="1">
        <f t="shared" si="16"/>
        <v>0</v>
      </c>
      <c r="I71" s="18">
        <v>386</v>
      </c>
      <c r="J71" s="18">
        <v>1.0000000474974513E-3</v>
      </c>
      <c r="K71" s="3">
        <f t="shared" si="17"/>
        <v>0</v>
      </c>
      <c r="L71" s="1">
        <f t="shared" si="18"/>
        <v>1</v>
      </c>
      <c r="M71" s="18">
        <v>572</v>
      </c>
      <c r="N71" s="18" t="s">
        <v>235</v>
      </c>
      <c r="O71" s="3">
        <f t="shared" si="19"/>
        <v>0.48186528497409326</v>
      </c>
      <c r="P71" s="18"/>
      <c r="Q71" s="18">
        <v>543</v>
      </c>
      <c r="R71" s="18" t="s">
        <v>235</v>
      </c>
      <c r="S71" s="3">
        <f t="shared" si="20"/>
        <v>0.40673575129533679</v>
      </c>
      <c r="T71" s="33"/>
      <c r="U71" s="18">
        <v>510</v>
      </c>
      <c r="V71" s="18" t="s">
        <v>235</v>
      </c>
      <c r="W71" s="3">
        <f t="shared" si="21"/>
        <v>0.32124352331606215</v>
      </c>
      <c r="X71" s="1">
        <f t="shared" si="22"/>
        <v>0</v>
      </c>
      <c r="AC71" s="2">
        <f t="shared" si="23"/>
        <v>386</v>
      </c>
    </row>
    <row r="72" spans="2:29" ht="16" x14ac:dyDescent="0.2">
      <c r="B72" s="18">
        <v>166</v>
      </c>
      <c r="C72" s="18">
        <v>994</v>
      </c>
      <c r="D72" s="19" t="s">
        <v>192</v>
      </c>
      <c r="E72" s="18">
        <v>255</v>
      </c>
      <c r="F72" s="18">
        <v>1.0000000474974513E-3</v>
      </c>
      <c r="G72" s="3">
        <f t="shared" si="15"/>
        <v>8.9743589743589744E-2</v>
      </c>
      <c r="H72" s="1">
        <f t="shared" si="16"/>
        <v>0</v>
      </c>
      <c r="I72" s="18">
        <v>234</v>
      </c>
      <c r="J72" s="18">
        <v>2.0000000949949026E-3</v>
      </c>
      <c r="K72" s="3">
        <f t="shared" si="17"/>
        <v>0</v>
      </c>
      <c r="L72" s="1">
        <f t="shared" si="18"/>
        <v>1</v>
      </c>
      <c r="M72" s="18">
        <v>267</v>
      </c>
      <c r="N72" s="18" t="s">
        <v>235</v>
      </c>
      <c r="O72" s="3">
        <f t="shared" si="19"/>
        <v>0.14102564102564102</v>
      </c>
      <c r="P72" s="18"/>
      <c r="Q72" s="18">
        <v>270</v>
      </c>
      <c r="R72" s="18" t="s">
        <v>235</v>
      </c>
      <c r="S72" s="3">
        <f t="shared" si="20"/>
        <v>0.15384615384615385</v>
      </c>
      <c r="T72" s="33"/>
      <c r="U72" s="18">
        <v>360</v>
      </c>
      <c r="V72" s="18" t="s">
        <v>235</v>
      </c>
      <c r="W72" s="3">
        <f t="shared" si="21"/>
        <v>0.53846153846153844</v>
      </c>
      <c r="X72" s="1">
        <f t="shared" si="22"/>
        <v>0</v>
      </c>
      <c r="AC72" s="2">
        <f t="shared" si="23"/>
        <v>234</v>
      </c>
    </row>
    <row r="73" spans="2:29" ht="16" x14ac:dyDescent="0.2">
      <c r="B73" s="18">
        <v>12</v>
      </c>
      <c r="C73" s="18">
        <v>219</v>
      </c>
      <c r="D73" s="19" t="s">
        <v>197</v>
      </c>
      <c r="E73" s="18">
        <v>18</v>
      </c>
      <c r="F73" s="18">
        <v>1.0000000474974513E-3</v>
      </c>
      <c r="G73" s="3">
        <f t="shared" si="15"/>
        <v>0</v>
      </c>
      <c r="H73" s="1">
        <f t="shared" si="16"/>
        <v>1</v>
      </c>
      <c r="I73" s="18">
        <v>18</v>
      </c>
      <c r="J73" s="18">
        <v>1.0000000474974513E-3</v>
      </c>
      <c r="K73" s="3">
        <f t="shared" si="17"/>
        <v>0</v>
      </c>
      <c r="L73" s="1">
        <f t="shared" si="18"/>
        <v>1</v>
      </c>
      <c r="M73" s="18">
        <v>50</v>
      </c>
      <c r="N73" s="18" t="s">
        <v>235</v>
      </c>
      <c r="O73" s="3">
        <f t="shared" si="19"/>
        <v>1.7777777777777777</v>
      </c>
      <c r="P73" s="18"/>
      <c r="Q73" s="18">
        <v>48</v>
      </c>
      <c r="R73" s="18" t="s">
        <v>235</v>
      </c>
      <c r="S73" s="3">
        <f t="shared" si="20"/>
        <v>1.6666666666666667</v>
      </c>
      <c r="T73" s="33"/>
      <c r="U73" s="18">
        <v>27</v>
      </c>
      <c r="V73" s="18" t="s">
        <v>235</v>
      </c>
      <c r="W73" s="3">
        <f t="shared" si="21"/>
        <v>0.5</v>
      </c>
      <c r="X73" s="1">
        <f t="shared" si="22"/>
        <v>0</v>
      </c>
      <c r="AC73" s="2">
        <f t="shared" si="23"/>
        <v>18</v>
      </c>
    </row>
    <row r="74" spans="2:29" ht="16" x14ac:dyDescent="0.2">
      <c r="B74" s="18">
        <v>12</v>
      </c>
      <c r="C74" s="18">
        <v>219</v>
      </c>
      <c r="D74" s="19" t="s">
        <v>198</v>
      </c>
      <c r="E74" s="18">
        <v>18</v>
      </c>
      <c r="F74" s="18">
        <v>1.0000000474974513E-3</v>
      </c>
      <c r="G74" s="3">
        <f t="shared" si="15"/>
        <v>0</v>
      </c>
      <c r="H74" s="1">
        <f t="shared" si="16"/>
        <v>1</v>
      </c>
      <c r="I74" s="18">
        <v>18</v>
      </c>
      <c r="J74" s="18">
        <v>1.0000000474974513E-3</v>
      </c>
      <c r="K74" s="3">
        <f t="shared" si="17"/>
        <v>0</v>
      </c>
      <c r="L74" s="1">
        <f t="shared" si="18"/>
        <v>1</v>
      </c>
      <c r="M74" s="18">
        <v>47</v>
      </c>
      <c r="N74" s="18" t="s">
        <v>235</v>
      </c>
      <c r="O74" s="3">
        <f t="shared" si="19"/>
        <v>1.6111111111111112</v>
      </c>
      <c r="P74" s="18"/>
      <c r="Q74" s="18">
        <v>42</v>
      </c>
      <c r="R74" s="18" t="s">
        <v>235</v>
      </c>
      <c r="S74" s="3">
        <f t="shared" si="20"/>
        <v>1.3333333333333333</v>
      </c>
      <c r="T74" s="33"/>
      <c r="U74" s="18">
        <v>27</v>
      </c>
      <c r="V74" s="18" t="s">
        <v>235</v>
      </c>
      <c r="W74" s="3">
        <f t="shared" si="21"/>
        <v>0.5</v>
      </c>
      <c r="X74" s="1">
        <f t="shared" si="22"/>
        <v>0</v>
      </c>
      <c r="AC74" s="2">
        <f t="shared" si="23"/>
        <v>18</v>
      </c>
    </row>
    <row r="75" spans="2:29" ht="16" x14ac:dyDescent="0.2">
      <c r="B75" s="18">
        <v>12</v>
      </c>
      <c r="C75" s="18">
        <v>219</v>
      </c>
      <c r="D75" s="19" t="s">
        <v>16</v>
      </c>
      <c r="E75" s="18">
        <v>18</v>
      </c>
      <c r="F75" s="18">
        <v>1.0000000474974513E-3</v>
      </c>
      <c r="G75" s="3">
        <f t="shared" ref="G75:G106" si="24">(E75-$AC75)/$AC75</f>
        <v>0</v>
      </c>
      <c r="H75" s="1">
        <f t="shared" ref="H75:H106" si="25">IF(E75=$AC75,1,0)</f>
        <v>1</v>
      </c>
      <c r="I75" s="18">
        <v>18</v>
      </c>
      <c r="J75" s="18">
        <v>1.0000000474974513E-3</v>
      </c>
      <c r="K75" s="3">
        <f t="shared" ref="K75:K106" si="26">(I75-$AC75)/$AC75</f>
        <v>0</v>
      </c>
      <c r="L75" s="1">
        <f t="shared" ref="L75:L106" si="27">IF(I75=$AC75,1,0)</f>
        <v>1</v>
      </c>
      <c r="M75" s="18">
        <v>47</v>
      </c>
      <c r="N75" s="18" t="s">
        <v>235</v>
      </c>
      <c r="O75" s="3">
        <f t="shared" ref="O75:O106" si="28">(M75-$AC75)/$AC75</f>
        <v>1.6111111111111112</v>
      </c>
      <c r="P75" s="18"/>
      <c r="Q75" s="18">
        <v>45</v>
      </c>
      <c r="R75" s="18" t="s">
        <v>235</v>
      </c>
      <c r="S75" s="3">
        <f t="shared" ref="S75:S106" si="29">(Q75-$AC75)/$AC75</f>
        <v>1.5</v>
      </c>
      <c r="T75" s="33"/>
      <c r="U75" s="18">
        <v>27</v>
      </c>
      <c r="V75" s="18" t="s">
        <v>235</v>
      </c>
      <c r="W75" s="3">
        <f t="shared" ref="W75:W106" si="30">(U75-$AC75)/$AC75</f>
        <v>0.5</v>
      </c>
      <c r="X75" s="1">
        <f t="shared" ref="X75:X106" si="31">IF(U75=$AC75,1,0)</f>
        <v>0</v>
      </c>
      <c r="AC75" s="2">
        <f t="shared" ref="AC75:AC106" si="32">MIN(E75,I75,M75,Q75,U75)</f>
        <v>18</v>
      </c>
    </row>
    <row r="76" spans="2:29" ht="16" x14ac:dyDescent="0.2">
      <c r="B76" s="18">
        <v>12</v>
      </c>
      <c r="C76" s="18">
        <v>219</v>
      </c>
      <c r="D76" s="19" t="s">
        <v>199</v>
      </c>
      <c r="E76" s="18">
        <v>18</v>
      </c>
      <c r="F76" s="18">
        <v>0</v>
      </c>
      <c r="G76" s="3">
        <f t="shared" si="24"/>
        <v>0</v>
      </c>
      <c r="H76" s="1">
        <f t="shared" si="25"/>
        <v>1</v>
      </c>
      <c r="I76" s="18">
        <v>18</v>
      </c>
      <c r="J76" s="18">
        <v>1.0000000474974513E-3</v>
      </c>
      <c r="K76" s="3">
        <f t="shared" si="26"/>
        <v>0</v>
      </c>
      <c r="L76" s="1">
        <f t="shared" si="27"/>
        <v>1</v>
      </c>
      <c r="M76" s="18">
        <v>50</v>
      </c>
      <c r="N76" s="18" t="s">
        <v>235</v>
      </c>
      <c r="O76" s="3">
        <f t="shared" si="28"/>
        <v>1.7777777777777777</v>
      </c>
      <c r="P76" s="18"/>
      <c r="Q76" s="18">
        <v>51</v>
      </c>
      <c r="R76" s="18" t="s">
        <v>235</v>
      </c>
      <c r="S76" s="3">
        <f t="shared" si="29"/>
        <v>1.8333333333333333</v>
      </c>
      <c r="T76" s="33"/>
      <c r="U76" s="18">
        <v>27</v>
      </c>
      <c r="V76" s="18" t="s">
        <v>235</v>
      </c>
      <c r="W76" s="3">
        <f t="shared" si="30"/>
        <v>0.5</v>
      </c>
      <c r="X76" s="1">
        <f t="shared" si="31"/>
        <v>0</v>
      </c>
      <c r="AC76" s="2">
        <f t="shared" si="32"/>
        <v>18</v>
      </c>
    </row>
    <row r="77" spans="2:29" ht="16" x14ac:dyDescent="0.2">
      <c r="B77" s="18">
        <v>12</v>
      </c>
      <c r="C77" s="18">
        <v>219</v>
      </c>
      <c r="D77" s="19" t="s">
        <v>200</v>
      </c>
      <c r="E77" s="18">
        <v>18</v>
      </c>
      <c r="F77" s="18">
        <v>0</v>
      </c>
      <c r="G77" s="3">
        <f t="shared" si="24"/>
        <v>0</v>
      </c>
      <c r="H77" s="1">
        <f t="shared" si="25"/>
        <v>1</v>
      </c>
      <c r="I77" s="18">
        <v>18</v>
      </c>
      <c r="J77" s="18">
        <v>1.0000000474974513E-3</v>
      </c>
      <c r="K77" s="3">
        <f t="shared" si="26"/>
        <v>0</v>
      </c>
      <c r="L77" s="1">
        <f t="shared" si="27"/>
        <v>1</v>
      </c>
      <c r="M77" s="18">
        <v>44</v>
      </c>
      <c r="N77" s="18" t="s">
        <v>235</v>
      </c>
      <c r="O77" s="3">
        <f t="shared" si="28"/>
        <v>1.4444444444444444</v>
      </c>
      <c r="P77" s="18"/>
      <c r="Q77" s="18">
        <v>48</v>
      </c>
      <c r="R77" s="18" t="s">
        <v>235</v>
      </c>
      <c r="S77" s="3">
        <f t="shared" si="29"/>
        <v>1.6666666666666667</v>
      </c>
      <c r="T77" s="33"/>
      <c r="U77" s="18">
        <v>27</v>
      </c>
      <c r="V77" s="18" t="s">
        <v>235</v>
      </c>
      <c r="W77" s="3">
        <f t="shared" si="30"/>
        <v>0.5</v>
      </c>
      <c r="X77" s="1">
        <f t="shared" si="31"/>
        <v>0</v>
      </c>
      <c r="AC77" s="2">
        <f t="shared" si="32"/>
        <v>18</v>
      </c>
    </row>
    <row r="78" spans="2:29" ht="16" x14ac:dyDescent="0.2">
      <c r="B78" s="18">
        <v>36</v>
      </c>
      <c r="C78" s="18">
        <v>2271</v>
      </c>
      <c r="D78" s="19" t="s">
        <v>201</v>
      </c>
      <c r="E78" s="18">
        <v>820</v>
      </c>
      <c r="F78" s="18">
        <v>1.0000000474974513E-3</v>
      </c>
      <c r="G78" s="3">
        <f t="shared" si="24"/>
        <v>7.3710073710073713E-3</v>
      </c>
      <c r="H78" s="1">
        <f t="shared" si="25"/>
        <v>0</v>
      </c>
      <c r="I78" s="18">
        <v>814</v>
      </c>
      <c r="J78" s="18">
        <v>1.0000000474974513E-3</v>
      </c>
      <c r="K78" s="3">
        <f t="shared" si="26"/>
        <v>0</v>
      </c>
      <c r="L78" s="1">
        <f t="shared" si="27"/>
        <v>1</v>
      </c>
      <c r="M78" s="18">
        <v>1169</v>
      </c>
      <c r="N78" s="18" t="s">
        <v>235</v>
      </c>
      <c r="O78" s="3">
        <f t="shared" si="28"/>
        <v>0.43611793611793614</v>
      </c>
      <c r="P78" s="18"/>
      <c r="Q78" s="18">
        <v>1161</v>
      </c>
      <c r="R78" s="18" t="s">
        <v>235</v>
      </c>
      <c r="S78" s="3">
        <f t="shared" si="29"/>
        <v>0.42628992628992629</v>
      </c>
      <c r="T78" s="33"/>
      <c r="U78" s="18">
        <v>1020</v>
      </c>
      <c r="V78" s="18" t="s">
        <v>235</v>
      </c>
      <c r="W78" s="3">
        <f t="shared" si="30"/>
        <v>0.25307125307125306</v>
      </c>
      <c r="X78" s="1">
        <f t="shared" si="31"/>
        <v>0</v>
      </c>
      <c r="AC78" s="2">
        <f t="shared" si="32"/>
        <v>814</v>
      </c>
    </row>
    <row r="79" spans="2:29" ht="16" x14ac:dyDescent="0.2">
      <c r="B79" s="18">
        <v>13</v>
      </c>
      <c r="C79" s="18">
        <v>216</v>
      </c>
      <c r="D79" s="19" t="s">
        <v>202</v>
      </c>
      <c r="E79" s="18">
        <v>24</v>
      </c>
      <c r="F79" s="18">
        <v>0</v>
      </c>
      <c r="G79" s="3">
        <f t="shared" si="24"/>
        <v>0</v>
      </c>
      <c r="H79" s="1">
        <f t="shared" si="25"/>
        <v>1</v>
      </c>
      <c r="I79" s="18">
        <v>24</v>
      </c>
      <c r="J79" s="18">
        <v>0</v>
      </c>
      <c r="K79" s="3">
        <f t="shared" si="26"/>
        <v>0</v>
      </c>
      <c r="L79" s="1">
        <f t="shared" si="27"/>
        <v>1</v>
      </c>
      <c r="M79" s="18">
        <v>68</v>
      </c>
      <c r="N79" s="18" t="s">
        <v>235</v>
      </c>
      <c r="O79" s="3">
        <f t="shared" si="28"/>
        <v>1.8333333333333333</v>
      </c>
      <c r="P79" s="18"/>
      <c r="Q79" s="18">
        <v>66</v>
      </c>
      <c r="R79" s="18" t="s">
        <v>235</v>
      </c>
      <c r="S79" s="3">
        <f t="shared" si="29"/>
        <v>1.75</v>
      </c>
      <c r="T79" s="33"/>
      <c r="U79" s="18">
        <v>105</v>
      </c>
      <c r="V79" s="18" t="s">
        <v>235</v>
      </c>
      <c r="W79" s="3">
        <f t="shared" si="30"/>
        <v>3.375</v>
      </c>
      <c r="X79" s="1">
        <f t="shared" si="31"/>
        <v>0</v>
      </c>
      <c r="AC79" s="2">
        <f t="shared" si="32"/>
        <v>24</v>
      </c>
    </row>
    <row r="80" spans="2:29" ht="16" x14ac:dyDescent="0.2">
      <c r="B80" s="18">
        <v>11</v>
      </c>
      <c r="C80" s="18">
        <v>185</v>
      </c>
      <c r="D80" s="19" t="s">
        <v>203</v>
      </c>
      <c r="E80" s="18">
        <v>12</v>
      </c>
      <c r="F80" s="18">
        <v>4.999999888241291E-3</v>
      </c>
      <c r="G80" s="3">
        <f t="shared" si="24"/>
        <v>0</v>
      </c>
      <c r="H80" s="1">
        <f t="shared" si="25"/>
        <v>1</v>
      </c>
      <c r="I80" s="18">
        <v>12</v>
      </c>
      <c r="J80" s="18">
        <v>9.9999997764825821E-3</v>
      </c>
      <c r="K80" s="3">
        <f t="shared" si="26"/>
        <v>0</v>
      </c>
      <c r="L80" s="1">
        <f t="shared" si="27"/>
        <v>1</v>
      </c>
      <c r="M80" s="18">
        <v>33</v>
      </c>
      <c r="N80" s="18" t="s">
        <v>235</v>
      </c>
      <c r="O80" s="3">
        <f t="shared" si="28"/>
        <v>1.75</v>
      </c>
      <c r="P80" s="18"/>
      <c r="Q80" s="18">
        <v>33</v>
      </c>
      <c r="R80" s="18" t="s">
        <v>235</v>
      </c>
      <c r="S80" s="3">
        <f t="shared" si="29"/>
        <v>1.75</v>
      </c>
      <c r="T80" s="33"/>
      <c r="U80" s="18">
        <v>36</v>
      </c>
      <c r="V80" s="18" t="s">
        <v>235</v>
      </c>
      <c r="W80" s="3">
        <f t="shared" si="30"/>
        <v>2</v>
      </c>
      <c r="X80" s="1">
        <f t="shared" si="31"/>
        <v>0</v>
      </c>
      <c r="AC80" s="2">
        <f t="shared" si="32"/>
        <v>12</v>
      </c>
    </row>
    <row r="81" spans="2:29" ht="16" x14ac:dyDescent="0.2">
      <c r="B81" s="18">
        <v>130</v>
      </c>
      <c r="C81" s="18">
        <v>1910</v>
      </c>
      <c r="D81" s="19" t="s">
        <v>204</v>
      </c>
      <c r="E81" s="18">
        <v>194</v>
      </c>
      <c r="F81" s="18">
        <v>4.0000001899898052E-3</v>
      </c>
      <c r="G81" s="3">
        <f t="shared" si="24"/>
        <v>0</v>
      </c>
      <c r="H81" s="1">
        <f t="shared" si="25"/>
        <v>1</v>
      </c>
      <c r="I81" s="18">
        <v>198</v>
      </c>
      <c r="J81" s="18">
        <v>7.0000002160668373E-3</v>
      </c>
      <c r="K81" s="3">
        <f t="shared" si="26"/>
        <v>2.0618556701030927E-2</v>
      </c>
      <c r="L81" s="1">
        <f t="shared" si="27"/>
        <v>0</v>
      </c>
      <c r="M81" s="18">
        <v>641</v>
      </c>
      <c r="N81" s="18" t="s">
        <v>235</v>
      </c>
      <c r="O81" s="3">
        <f t="shared" si="28"/>
        <v>2.304123711340206</v>
      </c>
      <c r="P81" s="18"/>
      <c r="Q81" s="18">
        <v>657</v>
      </c>
      <c r="R81" s="18" t="s">
        <v>235</v>
      </c>
      <c r="S81" s="3">
        <f t="shared" si="29"/>
        <v>2.3865979381443299</v>
      </c>
      <c r="T81" s="33"/>
      <c r="U81" s="18">
        <v>264</v>
      </c>
      <c r="V81" s="18" t="s">
        <v>235</v>
      </c>
      <c r="W81" s="3">
        <f t="shared" si="30"/>
        <v>0.36082474226804123</v>
      </c>
      <c r="X81" s="1">
        <f t="shared" si="31"/>
        <v>0</v>
      </c>
      <c r="AC81" s="2">
        <f t="shared" si="32"/>
        <v>194</v>
      </c>
    </row>
    <row r="82" spans="2:29" ht="16" x14ac:dyDescent="0.2">
      <c r="B82" s="18">
        <v>6</v>
      </c>
      <c r="C82" s="18">
        <v>32</v>
      </c>
      <c r="D82" s="19" t="s">
        <v>205</v>
      </c>
      <c r="E82" s="18">
        <v>6</v>
      </c>
      <c r="F82" s="18">
        <v>0</v>
      </c>
      <c r="G82" s="3">
        <f t="shared" si="24"/>
        <v>0</v>
      </c>
      <c r="H82" s="1">
        <f t="shared" si="25"/>
        <v>1</v>
      </c>
      <c r="I82" s="18">
        <v>6</v>
      </c>
      <c r="J82" s="18">
        <v>0</v>
      </c>
      <c r="K82" s="3">
        <f t="shared" si="26"/>
        <v>0</v>
      </c>
      <c r="L82" s="1">
        <f t="shared" si="27"/>
        <v>1</v>
      </c>
      <c r="M82" s="18">
        <v>9</v>
      </c>
      <c r="N82" s="18" t="s">
        <v>235</v>
      </c>
      <c r="O82" s="3">
        <f t="shared" si="28"/>
        <v>0.5</v>
      </c>
      <c r="P82" s="18"/>
      <c r="Q82" s="18">
        <v>9</v>
      </c>
      <c r="R82" s="18" t="s">
        <v>235</v>
      </c>
      <c r="S82" s="3">
        <f t="shared" si="29"/>
        <v>0.5</v>
      </c>
      <c r="T82" s="33"/>
      <c r="U82" s="18">
        <v>9</v>
      </c>
      <c r="V82" s="18" t="s">
        <v>235</v>
      </c>
      <c r="W82" s="3">
        <f t="shared" si="30"/>
        <v>0.5</v>
      </c>
      <c r="X82" s="1">
        <f t="shared" si="31"/>
        <v>0</v>
      </c>
      <c r="AC82" s="2">
        <f t="shared" si="32"/>
        <v>6</v>
      </c>
    </row>
    <row r="83" spans="2:29" ht="16" x14ac:dyDescent="0.2">
      <c r="B83" s="18">
        <v>6</v>
      </c>
      <c r="C83" s="18">
        <v>353</v>
      </c>
      <c r="D83" s="19" t="s">
        <v>206</v>
      </c>
      <c r="E83" s="18">
        <v>54</v>
      </c>
      <c r="F83" s="18">
        <v>1.0000000474974513E-3</v>
      </c>
      <c r="G83" s="3">
        <f t="shared" si="24"/>
        <v>0</v>
      </c>
      <c r="H83" s="1">
        <f t="shared" si="25"/>
        <v>1</v>
      </c>
      <c r="I83" s="18">
        <v>54</v>
      </c>
      <c r="J83" s="18">
        <v>0</v>
      </c>
      <c r="K83" s="3">
        <f t="shared" si="26"/>
        <v>0</v>
      </c>
      <c r="L83" s="1">
        <f t="shared" si="27"/>
        <v>1</v>
      </c>
      <c r="M83" s="18">
        <v>116</v>
      </c>
      <c r="N83" s="18" t="s">
        <v>235</v>
      </c>
      <c r="O83" s="3">
        <f t="shared" si="28"/>
        <v>1.1481481481481481</v>
      </c>
      <c r="P83" s="18"/>
      <c r="Q83" s="18">
        <v>120</v>
      </c>
      <c r="R83" s="18" t="s">
        <v>235</v>
      </c>
      <c r="S83" s="3">
        <f t="shared" si="29"/>
        <v>1.2222222222222223</v>
      </c>
      <c r="T83" s="33"/>
      <c r="U83" s="18">
        <v>159</v>
      </c>
      <c r="V83" s="18" t="s">
        <v>235</v>
      </c>
      <c r="W83" s="3">
        <f t="shared" si="30"/>
        <v>1.9444444444444444</v>
      </c>
      <c r="X83" s="1">
        <f t="shared" si="31"/>
        <v>0</v>
      </c>
      <c r="AC83" s="2">
        <f t="shared" si="32"/>
        <v>54</v>
      </c>
    </row>
    <row r="84" spans="2:29" ht="16" x14ac:dyDescent="0.2">
      <c r="B84" s="18">
        <v>6</v>
      </c>
      <c r="C84" s="18">
        <v>353</v>
      </c>
      <c r="D84" s="19" t="s">
        <v>207</v>
      </c>
      <c r="E84" s="18">
        <v>54</v>
      </c>
      <c r="F84" s="18">
        <v>0</v>
      </c>
      <c r="G84" s="3">
        <f t="shared" si="24"/>
        <v>0</v>
      </c>
      <c r="H84" s="1">
        <f t="shared" si="25"/>
        <v>1</v>
      </c>
      <c r="I84" s="18">
        <v>54</v>
      </c>
      <c r="J84" s="18">
        <v>1.0000000474974513E-3</v>
      </c>
      <c r="K84" s="3">
        <f t="shared" si="26"/>
        <v>0</v>
      </c>
      <c r="L84" s="1">
        <f t="shared" si="27"/>
        <v>1</v>
      </c>
      <c r="M84" s="18">
        <v>143</v>
      </c>
      <c r="N84" s="18" t="s">
        <v>235</v>
      </c>
      <c r="O84" s="3">
        <f t="shared" si="28"/>
        <v>1.6481481481481481</v>
      </c>
      <c r="P84" s="18"/>
      <c r="Q84" s="18">
        <v>117</v>
      </c>
      <c r="R84" s="18" t="s">
        <v>235</v>
      </c>
      <c r="S84" s="3">
        <f t="shared" si="29"/>
        <v>1.1666666666666667</v>
      </c>
      <c r="T84" s="33"/>
      <c r="U84" s="18">
        <v>159</v>
      </c>
      <c r="V84" s="18" t="s">
        <v>235</v>
      </c>
      <c r="W84" s="3">
        <f t="shared" si="30"/>
        <v>1.9444444444444444</v>
      </c>
      <c r="X84" s="1">
        <f t="shared" si="31"/>
        <v>0</v>
      </c>
      <c r="AC84" s="2">
        <f t="shared" si="32"/>
        <v>54</v>
      </c>
    </row>
    <row r="85" spans="2:29" ht="16" x14ac:dyDescent="0.2">
      <c r="B85" s="18">
        <v>6</v>
      </c>
      <c r="C85" s="18">
        <v>353</v>
      </c>
      <c r="D85" s="19" t="s">
        <v>208</v>
      </c>
      <c r="E85" s="18">
        <v>54</v>
      </c>
      <c r="F85" s="18">
        <v>0</v>
      </c>
      <c r="G85" s="3">
        <f t="shared" si="24"/>
        <v>0</v>
      </c>
      <c r="H85" s="1">
        <f t="shared" si="25"/>
        <v>1</v>
      </c>
      <c r="I85" s="18">
        <v>54</v>
      </c>
      <c r="J85" s="18">
        <v>0</v>
      </c>
      <c r="K85" s="3">
        <f t="shared" si="26"/>
        <v>0</v>
      </c>
      <c r="L85" s="1">
        <f t="shared" si="27"/>
        <v>1</v>
      </c>
      <c r="M85" s="18">
        <v>140</v>
      </c>
      <c r="N85" s="18" t="s">
        <v>235</v>
      </c>
      <c r="O85" s="3">
        <f t="shared" si="28"/>
        <v>1.5925925925925926</v>
      </c>
      <c r="P85" s="18"/>
      <c r="Q85" s="18">
        <v>114</v>
      </c>
      <c r="R85" s="18" t="s">
        <v>235</v>
      </c>
      <c r="S85" s="3">
        <f t="shared" si="29"/>
        <v>1.1111111111111112</v>
      </c>
      <c r="T85" s="33"/>
      <c r="U85" s="18">
        <v>159</v>
      </c>
      <c r="V85" s="18" t="s">
        <v>235</v>
      </c>
      <c r="W85" s="3">
        <f t="shared" si="30"/>
        <v>1.9444444444444444</v>
      </c>
      <c r="X85" s="1">
        <f t="shared" si="31"/>
        <v>0</v>
      </c>
      <c r="AC85" s="2">
        <f t="shared" si="32"/>
        <v>54</v>
      </c>
    </row>
    <row r="86" spans="2:29" ht="16" x14ac:dyDescent="0.2">
      <c r="B86" s="18">
        <v>6</v>
      </c>
      <c r="C86" s="18">
        <v>353</v>
      </c>
      <c r="D86" s="19" t="s">
        <v>209</v>
      </c>
      <c r="E86" s="18">
        <v>54</v>
      </c>
      <c r="F86" s="18">
        <v>0</v>
      </c>
      <c r="G86" s="3">
        <f t="shared" si="24"/>
        <v>0</v>
      </c>
      <c r="H86" s="1">
        <f t="shared" si="25"/>
        <v>1</v>
      </c>
      <c r="I86" s="18">
        <v>54</v>
      </c>
      <c r="J86" s="18">
        <v>0</v>
      </c>
      <c r="K86" s="3">
        <f t="shared" si="26"/>
        <v>0</v>
      </c>
      <c r="L86" s="1">
        <f t="shared" si="27"/>
        <v>1</v>
      </c>
      <c r="M86" s="18">
        <v>158</v>
      </c>
      <c r="N86" s="18" t="s">
        <v>235</v>
      </c>
      <c r="O86" s="3">
        <f t="shared" si="28"/>
        <v>1.9259259259259258</v>
      </c>
      <c r="P86" s="18"/>
      <c r="Q86" s="18">
        <v>144</v>
      </c>
      <c r="R86" s="18" t="s">
        <v>235</v>
      </c>
      <c r="S86" s="3">
        <f t="shared" si="29"/>
        <v>1.6666666666666667</v>
      </c>
      <c r="T86" s="33"/>
      <c r="U86" s="18">
        <v>159</v>
      </c>
      <c r="V86" s="18" t="s">
        <v>235</v>
      </c>
      <c r="W86" s="3">
        <f t="shared" si="30"/>
        <v>1.9444444444444444</v>
      </c>
      <c r="X86" s="1">
        <f t="shared" si="31"/>
        <v>0</v>
      </c>
      <c r="AC86" s="2">
        <f t="shared" si="32"/>
        <v>54</v>
      </c>
    </row>
    <row r="87" spans="2:29" ht="16" x14ac:dyDescent="0.2">
      <c r="B87" s="18">
        <v>3</v>
      </c>
      <c r="C87" s="18">
        <v>645</v>
      </c>
      <c r="D87" s="19" t="s">
        <v>210</v>
      </c>
      <c r="E87" s="18">
        <v>3</v>
      </c>
      <c r="F87" s="18">
        <v>0</v>
      </c>
      <c r="G87" s="3">
        <f t="shared" si="24"/>
        <v>0</v>
      </c>
      <c r="H87" s="1">
        <f t="shared" si="25"/>
        <v>1</v>
      </c>
      <c r="I87" s="18">
        <v>3</v>
      </c>
      <c r="J87" s="18">
        <v>0</v>
      </c>
      <c r="K87" s="3">
        <f t="shared" si="26"/>
        <v>0</v>
      </c>
      <c r="L87" s="1">
        <f t="shared" si="27"/>
        <v>1</v>
      </c>
      <c r="M87" s="18">
        <v>3</v>
      </c>
      <c r="N87" s="18" t="s">
        <v>235</v>
      </c>
      <c r="O87" s="3">
        <f t="shared" si="28"/>
        <v>0</v>
      </c>
      <c r="P87" s="18"/>
      <c r="Q87" s="18">
        <v>3</v>
      </c>
      <c r="R87" s="18" t="s">
        <v>235</v>
      </c>
      <c r="S87" s="3">
        <f t="shared" si="29"/>
        <v>0</v>
      </c>
      <c r="T87" s="33"/>
      <c r="U87" s="18">
        <v>3</v>
      </c>
      <c r="V87" s="18" t="s">
        <v>235</v>
      </c>
      <c r="W87" s="3">
        <f t="shared" si="30"/>
        <v>0</v>
      </c>
      <c r="X87" s="1">
        <f t="shared" si="31"/>
        <v>1</v>
      </c>
      <c r="AC87" s="2">
        <f t="shared" si="32"/>
        <v>3</v>
      </c>
    </row>
    <row r="88" spans="2:29" ht="16" x14ac:dyDescent="0.2">
      <c r="B88" s="18">
        <v>3</v>
      </c>
      <c r="C88" s="18">
        <v>645</v>
      </c>
      <c r="D88" s="19" t="s">
        <v>17</v>
      </c>
      <c r="E88" s="18">
        <v>3</v>
      </c>
      <c r="F88" s="18">
        <v>1.0000000474974513E-3</v>
      </c>
      <c r="G88" s="3">
        <f t="shared" si="24"/>
        <v>0</v>
      </c>
      <c r="H88" s="1">
        <f t="shared" si="25"/>
        <v>1</v>
      </c>
      <c r="I88" s="18">
        <v>3</v>
      </c>
      <c r="J88" s="18">
        <v>1.0000000474974513E-3</v>
      </c>
      <c r="K88" s="3">
        <f t="shared" si="26"/>
        <v>0</v>
      </c>
      <c r="L88" s="1">
        <f t="shared" si="27"/>
        <v>1</v>
      </c>
      <c r="M88" s="18">
        <v>3</v>
      </c>
      <c r="N88" s="18" t="s">
        <v>235</v>
      </c>
      <c r="O88" s="3">
        <f t="shared" si="28"/>
        <v>0</v>
      </c>
      <c r="P88" s="18"/>
      <c r="Q88" s="18">
        <v>3</v>
      </c>
      <c r="R88" s="18" t="s">
        <v>235</v>
      </c>
      <c r="S88" s="3">
        <f t="shared" si="29"/>
        <v>0</v>
      </c>
      <c r="T88" s="33"/>
      <c r="U88" s="18">
        <v>3</v>
      </c>
      <c r="V88" s="18" t="s">
        <v>235</v>
      </c>
      <c r="W88" s="3">
        <f t="shared" si="30"/>
        <v>0</v>
      </c>
      <c r="X88" s="1">
        <f t="shared" si="31"/>
        <v>1</v>
      </c>
      <c r="AC88" s="2">
        <f t="shared" si="32"/>
        <v>3</v>
      </c>
    </row>
    <row r="89" spans="2:29" ht="16" x14ac:dyDescent="0.2">
      <c r="B89" s="18">
        <v>146</v>
      </c>
      <c r="C89" s="18">
        <v>1313</v>
      </c>
      <c r="D89" s="19" t="s">
        <v>211</v>
      </c>
      <c r="E89" s="18">
        <v>483</v>
      </c>
      <c r="F89" s="18">
        <v>0</v>
      </c>
      <c r="G89" s="3">
        <f t="shared" si="24"/>
        <v>0</v>
      </c>
      <c r="H89" s="1">
        <f t="shared" si="25"/>
        <v>1</v>
      </c>
      <c r="I89" s="18">
        <v>483</v>
      </c>
      <c r="J89" s="18">
        <v>0</v>
      </c>
      <c r="K89" s="3">
        <f t="shared" si="26"/>
        <v>0</v>
      </c>
      <c r="L89" s="1">
        <f t="shared" si="27"/>
        <v>1</v>
      </c>
      <c r="M89" s="18">
        <v>1037</v>
      </c>
      <c r="N89" s="18" t="s">
        <v>235</v>
      </c>
      <c r="O89" s="3">
        <f t="shared" si="28"/>
        <v>1.1469979296066253</v>
      </c>
      <c r="P89" s="18"/>
      <c r="Q89" s="18">
        <v>1053</v>
      </c>
      <c r="R89" s="18" t="s">
        <v>235</v>
      </c>
      <c r="S89" s="3">
        <f t="shared" si="29"/>
        <v>1.1801242236024845</v>
      </c>
      <c r="T89" s="33"/>
      <c r="U89" s="18">
        <v>837</v>
      </c>
      <c r="V89" s="18" t="s">
        <v>235</v>
      </c>
      <c r="W89" s="3">
        <f t="shared" si="30"/>
        <v>0.73291925465838514</v>
      </c>
      <c r="X89" s="1">
        <f t="shared" si="31"/>
        <v>0</v>
      </c>
      <c r="AC89" s="2">
        <f t="shared" si="32"/>
        <v>483</v>
      </c>
    </row>
    <row r="90" spans="2:29" ht="16" x14ac:dyDescent="0.2">
      <c r="B90" s="18">
        <v>95</v>
      </c>
      <c r="C90" s="18">
        <v>1129</v>
      </c>
      <c r="D90" s="19" t="s">
        <v>212</v>
      </c>
      <c r="E90" s="18">
        <v>266</v>
      </c>
      <c r="F90" s="18">
        <v>0</v>
      </c>
      <c r="G90" s="3">
        <f t="shared" si="24"/>
        <v>0</v>
      </c>
      <c r="H90" s="1">
        <f t="shared" si="25"/>
        <v>1</v>
      </c>
      <c r="I90" s="18">
        <v>267</v>
      </c>
      <c r="J90" s="18">
        <v>1.0000000474974513E-3</v>
      </c>
      <c r="K90" s="3">
        <f t="shared" si="26"/>
        <v>3.7593984962406013E-3</v>
      </c>
      <c r="L90" s="1">
        <f t="shared" si="27"/>
        <v>0</v>
      </c>
      <c r="M90" s="18">
        <v>533</v>
      </c>
      <c r="N90" s="18" t="s">
        <v>235</v>
      </c>
      <c r="O90" s="3">
        <f t="shared" si="28"/>
        <v>1.0037593984962405</v>
      </c>
      <c r="P90" s="18"/>
      <c r="Q90" s="18">
        <v>519</v>
      </c>
      <c r="R90" s="18" t="s">
        <v>235</v>
      </c>
      <c r="S90" s="3">
        <f t="shared" si="29"/>
        <v>0.95112781954887216</v>
      </c>
      <c r="T90" s="33"/>
      <c r="U90" s="18">
        <v>480</v>
      </c>
      <c r="V90" s="18" t="s">
        <v>235</v>
      </c>
      <c r="W90" s="3">
        <f t="shared" si="30"/>
        <v>0.80451127819548873</v>
      </c>
      <c r="X90" s="1">
        <f t="shared" si="31"/>
        <v>0</v>
      </c>
      <c r="AC90" s="2">
        <f t="shared" si="32"/>
        <v>266</v>
      </c>
    </row>
    <row r="91" spans="2:29" ht="16" x14ac:dyDescent="0.2">
      <c r="B91" s="18">
        <v>13</v>
      </c>
      <c r="C91" s="18">
        <v>201</v>
      </c>
      <c r="D91" s="19" t="s">
        <v>18</v>
      </c>
      <c r="E91" s="18">
        <v>66</v>
      </c>
      <c r="F91" s="18">
        <v>0</v>
      </c>
      <c r="G91" s="3">
        <f t="shared" si="24"/>
        <v>0</v>
      </c>
      <c r="H91" s="1">
        <f t="shared" si="25"/>
        <v>1</v>
      </c>
      <c r="I91" s="18">
        <v>66</v>
      </c>
      <c r="J91" s="18">
        <v>1.0000000474974513E-3</v>
      </c>
      <c r="K91" s="3">
        <f t="shared" si="26"/>
        <v>0</v>
      </c>
      <c r="L91" s="1">
        <f t="shared" si="27"/>
        <v>1</v>
      </c>
      <c r="M91" s="18">
        <v>95</v>
      </c>
      <c r="N91" s="18" t="s">
        <v>235</v>
      </c>
      <c r="O91" s="3">
        <f t="shared" si="28"/>
        <v>0.43939393939393939</v>
      </c>
      <c r="P91" s="18"/>
      <c r="Q91" s="18">
        <v>87</v>
      </c>
      <c r="R91" s="18" t="s">
        <v>235</v>
      </c>
      <c r="S91" s="3">
        <f t="shared" si="29"/>
        <v>0.31818181818181818</v>
      </c>
      <c r="T91" s="33"/>
      <c r="U91" s="18">
        <v>117</v>
      </c>
      <c r="V91" s="18" t="s">
        <v>235</v>
      </c>
      <c r="W91" s="3">
        <f t="shared" si="30"/>
        <v>0.77272727272727271</v>
      </c>
      <c r="X91" s="1">
        <f t="shared" si="31"/>
        <v>0</v>
      </c>
      <c r="AC91" s="2">
        <f t="shared" si="32"/>
        <v>66</v>
      </c>
    </row>
    <row r="92" spans="2:29" ht="16" x14ac:dyDescent="0.2">
      <c r="B92" s="18">
        <v>300</v>
      </c>
      <c r="C92" s="18">
        <v>1337</v>
      </c>
      <c r="D92" s="19" t="s">
        <v>19</v>
      </c>
      <c r="E92" s="18">
        <v>423</v>
      </c>
      <c r="F92" s="18">
        <v>2.0000000949949026E-3</v>
      </c>
      <c r="G92" s="3">
        <f t="shared" si="24"/>
        <v>0</v>
      </c>
      <c r="H92" s="1">
        <f t="shared" si="25"/>
        <v>1</v>
      </c>
      <c r="I92" s="18">
        <v>433</v>
      </c>
      <c r="J92" s="18">
        <v>1.0000000474974513E-3</v>
      </c>
      <c r="K92" s="3">
        <f t="shared" si="26"/>
        <v>2.3640661938534278E-2</v>
      </c>
      <c r="L92" s="1">
        <f t="shared" si="27"/>
        <v>0</v>
      </c>
      <c r="M92" s="18">
        <v>488</v>
      </c>
      <c r="N92" s="18" t="s">
        <v>235</v>
      </c>
      <c r="O92" s="3">
        <f t="shared" si="28"/>
        <v>0.15366430260047281</v>
      </c>
      <c r="P92" s="18"/>
      <c r="Q92" s="18">
        <v>492</v>
      </c>
      <c r="R92" s="18" t="s">
        <v>235</v>
      </c>
      <c r="S92" s="3">
        <f t="shared" si="29"/>
        <v>0.16312056737588654</v>
      </c>
      <c r="T92" s="33"/>
      <c r="U92" s="18">
        <v>675</v>
      </c>
      <c r="V92" s="18" t="s">
        <v>235</v>
      </c>
      <c r="W92" s="3">
        <f t="shared" si="30"/>
        <v>0.5957446808510638</v>
      </c>
      <c r="X92" s="1">
        <f t="shared" si="31"/>
        <v>0</v>
      </c>
      <c r="AC92" s="2">
        <f t="shared" si="32"/>
        <v>423</v>
      </c>
    </row>
    <row r="93" spans="2:29" ht="16" x14ac:dyDescent="0.2">
      <c r="B93" s="18">
        <v>277</v>
      </c>
      <c r="C93" s="18">
        <v>1644</v>
      </c>
      <c r="D93" s="19" t="s">
        <v>20</v>
      </c>
      <c r="E93" s="18">
        <v>822</v>
      </c>
      <c r="F93" s="18">
        <v>1.0000000474974513E-3</v>
      </c>
      <c r="G93" s="3">
        <f t="shared" si="24"/>
        <v>8.3003952569169967E-2</v>
      </c>
      <c r="H93" s="1">
        <f t="shared" si="25"/>
        <v>0</v>
      </c>
      <c r="I93" s="18">
        <v>822</v>
      </c>
      <c r="J93" s="18">
        <v>1.0000000474974513E-3</v>
      </c>
      <c r="K93" s="3">
        <f t="shared" si="26"/>
        <v>8.3003952569169967E-2</v>
      </c>
      <c r="L93" s="1">
        <f t="shared" si="27"/>
        <v>0</v>
      </c>
      <c r="M93" s="18">
        <v>767</v>
      </c>
      <c r="N93" s="18" t="s">
        <v>235</v>
      </c>
      <c r="O93" s="3">
        <f t="shared" si="28"/>
        <v>1.0540184453227932E-2</v>
      </c>
      <c r="P93" s="18"/>
      <c r="Q93" s="18">
        <v>759</v>
      </c>
      <c r="R93" s="18" t="s">
        <v>235</v>
      </c>
      <c r="S93" s="3">
        <f t="shared" si="29"/>
        <v>0</v>
      </c>
      <c r="T93" s="33"/>
      <c r="U93" s="18">
        <v>846</v>
      </c>
      <c r="V93" s="18" t="s">
        <v>235</v>
      </c>
      <c r="W93" s="3">
        <f t="shared" si="30"/>
        <v>0.11462450592885376</v>
      </c>
      <c r="X93" s="1">
        <f t="shared" si="31"/>
        <v>0</v>
      </c>
      <c r="AC93" s="2">
        <f t="shared" si="32"/>
        <v>759</v>
      </c>
    </row>
    <row r="94" spans="2:29" ht="16" x14ac:dyDescent="0.2">
      <c r="B94" s="18">
        <v>32</v>
      </c>
      <c r="C94" s="18">
        <v>644</v>
      </c>
      <c r="D94" s="19" t="s">
        <v>21</v>
      </c>
      <c r="E94" s="18">
        <v>128</v>
      </c>
      <c r="F94" s="18">
        <v>0</v>
      </c>
      <c r="G94" s="3">
        <f t="shared" si="24"/>
        <v>0</v>
      </c>
      <c r="H94" s="1">
        <f t="shared" si="25"/>
        <v>1</v>
      </c>
      <c r="I94" s="18">
        <v>134</v>
      </c>
      <c r="J94" s="18">
        <v>1.0000000474974513E-3</v>
      </c>
      <c r="K94" s="3">
        <f t="shared" si="26"/>
        <v>4.6875E-2</v>
      </c>
      <c r="L94" s="1">
        <f t="shared" si="27"/>
        <v>0</v>
      </c>
      <c r="M94" s="18">
        <v>221</v>
      </c>
      <c r="N94" s="18" t="s">
        <v>235</v>
      </c>
      <c r="O94" s="3">
        <f t="shared" si="28"/>
        <v>0.7265625</v>
      </c>
      <c r="P94" s="18"/>
      <c r="Q94" s="18">
        <v>219</v>
      </c>
      <c r="R94" s="18" t="s">
        <v>235</v>
      </c>
      <c r="S94" s="3">
        <f t="shared" si="29"/>
        <v>0.7109375</v>
      </c>
      <c r="T94" s="33"/>
      <c r="U94" s="18">
        <v>234</v>
      </c>
      <c r="V94" s="18" t="s">
        <v>235</v>
      </c>
      <c r="W94" s="3">
        <f t="shared" si="30"/>
        <v>0.828125</v>
      </c>
      <c r="X94" s="1">
        <f t="shared" si="31"/>
        <v>0</v>
      </c>
      <c r="AC94" s="2">
        <f t="shared" si="32"/>
        <v>128</v>
      </c>
    </row>
    <row r="95" spans="2:29" ht="16" x14ac:dyDescent="0.2">
      <c r="B95" s="18">
        <v>8</v>
      </c>
      <c r="C95" s="18">
        <v>47</v>
      </c>
      <c r="D95" s="19" t="s">
        <v>22</v>
      </c>
      <c r="E95" s="18">
        <v>24</v>
      </c>
      <c r="F95" s="18">
        <v>0</v>
      </c>
      <c r="G95" s="3">
        <f t="shared" si="24"/>
        <v>0.2</v>
      </c>
      <c r="H95" s="1">
        <f t="shared" si="25"/>
        <v>0</v>
      </c>
      <c r="I95" s="18">
        <v>21</v>
      </c>
      <c r="J95" s="18">
        <v>0</v>
      </c>
      <c r="K95" s="3">
        <f t="shared" si="26"/>
        <v>0.05</v>
      </c>
      <c r="L95" s="1">
        <f t="shared" si="27"/>
        <v>0</v>
      </c>
      <c r="M95" s="18">
        <v>20</v>
      </c>
      <c r="N95" s="18" t="s">
        <v>235</v>
      </c>
      <c r="O95" s="3">
        <f t="shared" si="28"/>
        <v>0</v>
      </c>
      <c r="P95" s="18"/>
      <c r="Q95" s="18">
        <v>21</v>
      </c>
      <c r="R95" s="18" t="s">
        <v>235</v>
      </c>
      <c r="S95" s="3">
        <f t="shared" si="29"/>
        <v>0.05</v>
      </c>
      <c r="T95" s="33"/>
      <c r="U95" s="18">
        <v>24</v>
      </c>
      <c r="V95" s="18" t="s">
        <v>235</v>
      </c>
      <c r="W95" s="3">
        <f t="shared" si="30"/>
        <v>0.2</v>
      </c>
      <c r="X95" s="1">
        <f t="shared" si="31"/>
        <v>0</v>
      </c>
      <c r="AC95" s="2">
        <f t="shared" si="32"/>
        <v>20</v>
      </c>
    </row>
    <row r="96" spans="2:29" ht="16" x14ac:dyDescent="0.2">
      <c r="B96" s="18">
        <v>11</v>
      </c>
      <c r="C96" s="18">
        <v>1534</v>
      </c>
      <c r="D96" s="19" t="s">
        <v>23</v>
      </c>
      <c r="E96" s="18">
        <v>40</v>
      </c>
      <c r="F96" s="18">
        <v>0</v>
      </c>
      <c r="G96" s="3">
        <f t="shared" si="24"/>
        <v>2.564102564102564E-2</v>
      </c>
      <c r="H96" s="1">
        <f t="shared" si="25"/>
        <v>0</v>
      </c>
      <c r="I96" s="18">
        <v>39</v>
      </c>
      <c r="J96" s="18">
        <v>1.0000000474974513E-3</v>
      </c>
      <c r="K96" s="3">
        <f t="shared" si="26"/>
        <v>0</v>
      </c>
      <c r="L96" s="1">
        <f t="shared" si="27"/>
        <v>1</v>
      </c>
      <c r="M96" s="18">
        <v>1205</v>
      </c>
      <c r="N96" s="18" t="s">
        <v>235</v>
      </c>
      <c r="O96" s="3">
        <f t="shared" si="28"/>
        <v>29.897435897435898</v>
      </c>
      <c r="P96" s="18"/>
      <c r="Q96" s="18">
        <v>1221</v>
      </c>
      <c r="R96" s="18" t="s">
        <v>235</v>
      </c>
      <c r="S96" s="3">
        <f t="shared" si="29"/>
        <v>30.307692307692307</v>
      </c>
      <c r="T96" s="33"/>
      <c r="U96" s="18">
        <v>519</v>
      </c>
      <c r="V96" s="18" t="s">
        <v>235</v>
      </c>
      <c r="W96" s="3">
        <f t="shared" si="30"/>
        <v>12.307692307692308</v>
      </c>
      <c r="X96" s="1">
        <f t="shared" si="31"/>
        <v>0</v>
      </c>
      <c r="AC96" s="2">
        <f t="shared" si="32"/>
        <v>39</v>
      </c>
    </row>
    <row r="97" spans="2:29" ht="16" x14ac:dyDescent="0.2">
      <c r="B97" s="18">
        <v>10</v>
      </c>
      <c r="C97" s="18">
        <v>99</v>
      </c>
      <c r="D97" s="19" t="s">
        <v>213</v>
      </c>
      <c r="E97" s="18">
        <v>41</v>
      </c>
      <c r="F97" s="18">
        <v>0</v>
      </c>
      <c r="G97" s="3">
        <f t="shared" si="24"/>
        <v>0.41379310344827586</v>
      </c>
      <c r="H97" s="1">
        <f t="shared" si="25"/>
        <v>0</v>
      </c>
      <c r="I97" s="18">
        <v>40</v>
      </c>
      <c r="J97" s="18">
        <v>0</v>
      </c>
      <c r="K97" s="3">
        <f t="shared" si="26"/>
        <v>0.37931034482758619</v>
      </c>
      <c r="L97" s="1">
        <f t="shared" si="27"/>
        <v>0</v>
      </c>
      <c r="M97" s="18">
        <v>29</v>
      </c>
      <c r="N97" s="18" t="s">
        <v>235</v>
      </c>
      <c r="O97" s="3">
        <f t="shared" si="28"/>
        <v>0</v>
      </c>
      <c r="P97" s="18"/>
      <c r="Q97" s="18">
        <v>33</v>
      </c>
      <c r="R97" s="18" t="s">
        <v>235</v>
      </c>
      <c r="S97" s="3">
        <f t="shared" si="29"/>
        <v>0.13793103448275862</v>
      </c>
      <c r="T97" s="33"/>
      <c r="U97" s="18">
        <v>57</v>
      </c>
      <c r="V97" s="18" t="s">
        <v>235</v>
      </c>
      <c r="W97" s="3">
        <f t="shared" si="30"/>
        <v>0.96551724137931039</v>
      </c>
      <c r="X97" s="1">
        <f t="shared" si="31"/>
        <v>0</v>
      </c>
      <c r="AC97" s="2">
        <f t="shared" si="32"/>
        <v>29</v>
      </c>
    </row>
    <row r="98" spans="2:29" ht="16" x14ac:dyDescent="0.2">
      <c r="B98" s="18">
        <v>28</v>
      </c>
      <c r="C98" s="18">
        <v>231</v>
      </c>
      <c r="D98" s="19" t="s">
        <v>214</v>
      </c>
      <c r="E98" s="18">
        <v>84</v>
      </c>
      <c r="F98" s="18">
        <v>0</v>
      </c>
      <c r="G98" s="3">
        <f t="shared" si="24"/>
        <v>0</v>
      </c>
      <c r="H98" s="1">
        <f t="shared" si="25"/>
        <v>1</v>
      </c>
      <c r="I98" s="18">
        <v>84</v>
      </c>
      <c r="J98" s="18">
        <v>0</v>
      </c>
      <c r="K98" s="3">
        <f t="shared" si="26"/>
        <v>0</v>
      </c>
      <c r="L98" s="1">
        <f t="shared" si="27"/>
        <v>1</v>
      </c>
      <c r="M98" s="18">
        <v>113</v>
      </c>
      <c r="N98" s="18" t="s">
        <v>235</v>
      </c>
      <c r="O98" s="3">
        <f t="shared" si="28"/>
        <v>0.34523809523809523</v>
      </c>
      <c r="P98" s="18"/>
      <c r="Q98" s="18">
        <v>111</v>
      </c>
      <c r="R98" s="18" t="s">
        <v>235</v>
      </c>
      <c r="S98" s="3">
        <f t="shared" si="29"/>
        <v>0.32142857142857145</v>
      </c>
      <c r="T98" s="33"/>
      <c r="U98" s="18">
        <v>90</v>
      </c>
      <c r="V98" s="18" t="s">
        <v>235</v>
      </c>
      <c r="W98" s="3">
        <f t="shared" si="30"/>
        <v>7.1428571428571425E-2</v>
      </c>
      <c r="X98" s="1">
        <f t="shared" si="31"/>
        <v>0</v>
      </c>
      <c r="AC98" s="2">
        <f t="shared" si="32"/>
        <v>84</v>
      </c>
    </row>
    <row r="99" spans="2:29" ht="16" x14ac:dyDescent="0.2">
      <c r="B99" s="18">
        <v>80</v>
      </c>
      <c r="C99" s="18">
        <v>719</v>
      </c>
      <c r="D99" s="19" t="s">
        <v>24</v>
      </c>
      <c r="E99" s="18">
        <v>225</v>
      </c>
      <c r="F99" s="18">
        <v>0</v>
      </c>
      <c r="G99" s="3">
        <f t="shared" si="24"/>
        <v>0</v>
      </c>
      <c r="H99" s="1">
        <f t="shared" si="25"/>
        <v>1</v>
      </c>
      <c r="I99" s="18">
        <v>225</v>
      </c>
      <c r="J99" s="18">
        <v>0</v>
      </c>
      <c r="K99" s="3">
        <f t="shared" si="26"/>
        <v>0</v>
      </c>
      <c r="L99" s="1">
        <f t="shared" si="27"/>
        <v>1</v>
      </c>
      <c r="M99" s="18">
        <v>365</v>
      </c>
      <c r="N99" s="18" t="s">
        <v>235</v>
      </c>
      <c r="O99" s="3">
        <f t="shared" si="28"/>
        <v>0.62222222222222223</v>
      </c>
      <c r="P99" s="18"/>
      <c r="Q99" s="18">
        <v>372</v>
      </c>
      <c r="R99" s="18" t="s">
        <v>235</v>
      </c>
      <c r="S99" s="3">
        <f t="shared" si="29"/>
        <v>0.65333333333333332</v>
      </c>
      <c r="T99" s="18"/>
      <c r="U99" s="34">
        <v>384</v>
      </c>
      <c r="V99" s="34" t="s">
        <v>235</v>
      </c>
      <c r="W99" s="35">
        <f t="shared" si="30"/>
        <v>0.70666666666666667</v>
      </c>
      <c r="X99" s="36">
        <f t="shared" si="31"/>
        <v>0</v>
      </c>
      <c r="AC99" s="2">
        <f t="shared" si="32"/>
        <v>225</v>
      </c>
    </row>
    <row r="100" spans="2:29" ht="16" x14ac:dyDescent="0.2">
      <c r="B100" s="18">
        <v>402</v>
      </c>
      <c r="C100" s="18">
        <v>1390</v>
      </c>
      <c r="D100" s="19" t="s">
        <v>215</v>
      </c>
      <c r="E100" s="18">
        <v>589</v>
      </c>
      <c r="F100" s="18">
        <v>0</v>
      </c>
      <c r="G100" s="3">
        <f t="shared" si="24"/>
        <v>0</v>
      </c>
      <c r="H100" s="1">
        <f t="shared" si="25"/>
        <v>1</v>
      </c>
      <c r="I100" s="18">
        <v>601</v>
      </c>
      <c r="J100" s="18">
        <v>1.0000000474974513E-3</v>
      </c>
      <c r="K100" s="3">
        <f t="shared" si="26"/>
        <v>2.037351443123939E-2</v>
      </c>
      <c r="L100" s="1">
        <f t="shared" si="27"/>
        <v>0</v>
      </c>
      <c r="M100" s="18">
        <v>644</v>
      </c>
      <c r="N100" s="18" t="s">
        <v>235</v>
      </c>
      <c r="O100" s="3">
        <f t="shared" si="28"/>
        <v>9.3378607809847206E-2</v>
      </c>
      <c r="P100" s="18"/>
      <c r="Q100" s="18">
        <v>639</v>
      </c>
      <c r="R100" s="18" t="s">
        <v>235</v>
      </c>
      <c r="S100" s="3">
        <f t="shared" si="29"/>
        <v>8.4889643463497449E-2</v>
      </c>
      <c r="T100" s="18"/>
      <c r="U100" s="18">
        <v>684</v>
      </c>
      <c r="V100" s="18" t="s">
        <v>235</v>
      </c>
      <c r="W100" s="3">
        <f t="shared" si="30"/>
        <v>0.16129032258064516</v>
      </c>
      <c r="X100" s="1">
        <f t="shared" si="31"/>
        <v>0</v>
      </c>
      <c r="AC100" s="2">
        <f t="shared" si="32"/>
        <v>589</v>
      </c>
    </row>
    <row r="101" spans="2:29" ht="16" x14ac:dyDescent="0.2">
      <c r="B101" s="18">
        <v>433</v>
      </c>
      <c r="C101" s="18">
        <v>1498</v>
      </c>
      <c r="D101" s="19" t="s">
        <v>25</v>
      </c>
      <c r="E101" s="18">
        <v>671</v>
      </c>
      <c r="F101" s="18">
        <v>0</v>
      </c>
      <c r="G101" s="3">
        <f t="shared" si="24"/>
        <v>4.192546583850932E-2</v>
      </c>
      <c r="H101" s="1">
        <f t="shared" si="25"/>
        <v>0</v>
      </c>
      <c r="I101" s="18">
        <v>644</v>
      </c>
      <c r="J101" s="18">
        <v>0</v>
      </c>
      <c r="K101" s="3">
        <f t="shared" si="26"/>
        <v>0</v>
      </c>
      <c r="L101" s="1">
        <f t="shared" si="27"/>
        <v>1</v>
      </c>
      <c r="M101" s="18">
        <v>674</v>
      </c>
      <c r="N101" s="18" t="s">
        <v>235</v>
      </c>
      <c r="O101" s="3">
        <f t="shared" si="28"/>
        <v>4.6583850931677016E-2</v>
      </c>
      <c r="P101" s="18"/>
      <c r="Q101" s="18">
        <v>684</v>
      </c>
      <c r="R101" s="18" t="s">
        <v>235</v>
      </c>
      <c r="S101" s="3">
        <f t="shared" si="29"/>
        <v>6.2111801242236024E-2</v>
      </c>
      <c r="T101" s="18"/>
      <c r="U101" s="18">
        <v>756</v>
      </c>
      <c r="V101" s="18" t="s">
        <v>235</v>
      </c>
      <c r="W101" s="3">
        <f t="shared" si="30"/>
        <v>0.17391304347826086</v>
      </c>
      <c r="X101" s="1">
        <f t="shared" si="31"/>
        <v>0</v>
      </c>
      <c r="AC101" s="2">
        <f t="shared" si="32"/>
        <v>644</v>
      </c>
    </row>
    <row r="102" spans="2:29" ht="16" x14ac:dyDescent="0.2">
      <c r="B102" s="18">
        <v>3</v>
      </c>
      <c r="C102" s="18">
        <v>10</v>
      </c>
      <c r="D102" s="19" t="s">
        <v>216</v>
      </c>
      <c r="E102" s="18">
        <v>3</v>
      </c>
      <c r="F102" s="18">
        <v>0</v>
      </c>
      <c r="G102" s="3">
        <f t="shared" si="24"/>
        <v>0</v>
      </c>
      <c r="H102" s="1">
        <f t="shared" si="25"/>
        <v>1</v>
      </c>
      <c r="I102" s="18">
        <v>3</v>
      </c>
      <c r="J102" s="18">
        <v>0</v>
      </c>
      <c r="K102" s="3">
        <f t="shared" si="26"/>
        <v>0</v>
      </c>
      <c r="L102" s="1">
        <f t="shared" si="27"/>
        <v>1</v>
      </c>
      <c r="M102" s="18">
        <v>3</v>
      </c>
      <c r="N102" s="18" t="s">
        <v>235</v>
      </c>
      <c r="O102" s="3">
        <f t="shared" si="28"/>
        <v>0</v>
      </c>
      <c r="P102" s="18"/>
      <c r="Q102" s="18">
        <v>3</v>
      </c>
      <c r="R102" s="18" t="s">
        <v>235</v>
      </c>
      <c r="S102" s="3">
        <f t="shared" si="29"/>
        <v>0</v>
      </c>
      <c r="T102" s="18"/>
      <c r="U102" s="18">
        <v>3</v>
      </c>
      <c r="V102" s="18" t="s">
        <v>235</v>
      </c>
      <c r="W102" s="3">
        <f t="shared" si="30"/>
        <v>0</v>
      </c>
      <c r="X102" s="1">
        <f t="shared" si="31"/>
        <v>1</v>
      </c>
      <c r="AC102" s="2">
        <f t="shared" si="32"/>
        <v>3</v>
      </c>
    </row>
    <row r="103" spans="2:29" ht="16" x14ac:dyDescent="0.2">
      <c r="B103" s="18">
        <v>3</v>
      </c>
      <c r="C103" s="18">
        <v>14</v>
      </c>
      <c r="D103" s="19" t="s">
        <v>217</v>
      </c>
      <c r="E103" s="18">
        <v>3</v>
      </c>
      <c r="F103" s="18">
        <v>0</v>
      </c>
      <c r="G103" s="3">
        <f t="shared" si="24"/>
        <v>0</v>
      </c>
      <c r="H103" s="1">
        <f t="shared" si="25"/>
        <v>1</v>
      </c>
      <c r="I103" s="18">
        <v>3</v>
      </c>
      <c r="J103" s="18">
        <v>0</v>
      </c>
      <c r="K103" s="3">
        <f t="shared" si="26"/>
        <v>0</v>
      </c>
      <c r="L103" s="1">
        <f t="shared" si="27"/>
        <v>1</v>
      </c>
      <c r="M103" s="18">
        <v>3</v>
      </c>
      <c r="N103" s="18" t="s">
        <v>235</v>
      </c>
      <c r="O103" s="3">
        <f t="shared" si="28"/>
        <v>0</v>
      </c>
      <c r="P103" s="18"/>
      <c r="Q103" s="18">
        <v>3</v>
      </c>
      <c r="R103" s="18" t="s">
        <v>235</v>
      </c>
      <c r="S103" s="3">
        <f t="shared" si="29"/>
        <v>0</v>
      </c>
      <c r="T103" s="18"/>
      <c r="U103" s="18">
        <v>3</v>
      </c>
      <c r="V103" s="18" t="s">
        <v>235</v>
      </c>
      <c r="W103" s="3">
        <f t="shared" si="30"/>
        <v>0</v>
      </c>
      <c r="X103" s="1">
        <f t="shared" si="31"/>
        <v>1</v>
      </c>
      <c r="AC103" s="2">
        <f t="shared" si="32"/>
        <v>3</v>
      </c>
    </row>
    <row r="104" spans="2:29" ht="16" x14ac:dyDescent="0.2">
      <c r="B104" s="18">
        <v>31</v>
      </c>
      <c r="C104" s="18">
        <v>233</v>
      </c>
      <c r="D104" s="19" t="s">
        <v>26</v>
      </c>
      <c r="E104" s="18">
        <v>104</v>
      </c>
      <c r="F104" s="18">
        <v>0</v>
      </c>
      <c r="G104" s="3">
        <f t="shared" si="24"/>
        <v>0</v>
      </c>
      <c r="H104" s="1">
        <f t="shared" si="25"/>
        <v>1</v>
      </c>
      <c r="I104" s="18">
        <v>104</v>
      </c>
      <c r="J104" s="18">
        <v>0</v>
      </c>
      <c r="K104" s="3">
        <f t="shared" si="26"/>
        <v>0</v>
      </c>
      <c r="L104" s="1">
        <f t="shared" si="27"/>
        <v>1</v>
      </c>
      <c r="M104" s="18">
        <v>160</v>
      </c>
      <c r="N104" s="18" t="s">
        <v>235</v>
      </c>
      <c r="O104" s="3">
        <f t="shared" si="28"/>
        <v>0.53846153846153844</v>
      </c>
      <c r="P104" s="18"/>
      <c r="Q104" s="18">
        <v>154</v>
      </c>
      <c r="R104" s="18" t="s">
        <v>235</v>
      </c>
      <c r="S104" s="3">
        <f t="shared" si="29"/>
        <v>0.48076923076923078</v>
      </c>
      <c r="T104" s="18"/>
      <c r="U104" s="18">
        <v>169</v>
      </c>
      <c r="V104" s="18" t="s">
        <v>235</v>
      </c>
      <c r="W104" s="3">
        <f t="shared" si="30"/>
        <v>0.625</v>
      </c>
      <c r="X104" s="1">
        <f t="shared" si="31"/>
        <v>0</v>
      </c>
      <c r="AC104" s="2">
        <f t="shared" si="32"/>
        <v>104</v>
      </c>
    </row>
    <row r="105" spans="2:29" ht="16" x14ac:dyDescent="0.2">
      <c r="B105" s="18">
        <v>31</v>
      </c>
      <c r="C105" s="18">
        <v>233</v>
      </c>
      <c r="D105" s="19" t="s">
        <v>218</v>
      </c>
      <c r="E105" s="18">
        <v>104</v>
      </c>
      <c r="F105" s="18">
        <v>0</v>
      </c>
      <c r="G105" s="3">
        <f t="shared" si="24"/>
        <v>0</v>
      </c>
      <c r="H105" s="1">
        <f t="shared" si="25"/>
        <v>1</v>
      </c>
      <c r="I105" s="18">
        <v>104</v>
      </c>
      <c r="J105" s="18">
        <v>0</v>
      </c>
      <c r="K105" s="3">
        <f t="shared" si="26"/>
        <v>0</v>
      </c>
      <c r="L105" s="1">
        <f t="shared" si="27"/>
        <v>1</v>
      </c>
      <c r="M105" s="18">
        <v>155</v>
      </c>
      <c r="N105" s="18" t="s">
        <v>235</v>
      </c>
      <c r="O105" s="3">
        <f t="shared" si="28"/>
        <v>0.49038461538461536</v>
      </c>
      <c r="P105" s="18"/>
      <c r="Q105" s="18">
        <v>148</v>
      </c>
      <c r="R105" s="18" t="s">
        <v>235</v>
      </c>
      <c r="S105" s="3">
        <f t="shared" si="29"/>
        <v>0.42307692307692307</v>
      </c>
      <c r="T105" s="18"/>
      <c r="U105" s="18">
        <v>169</v>
      </c>
      <c r="V105" s="18" t="s">
        <v>235</v>
      </c>
      <c r="W105" s="3">
        <f t="shared" si="30"/>
        <v>0.625</v>
      </c>
      <c r="X105" s="1">
        <f t="shared" si="31"/>
        <v>0</v>
      </c>
      <c r="AC105" s="2">
        <f t="shared" si="32"/>
        <v>104</v>
      </c>
    </row>
    <row r="106" spans="2:29" ht="16" x14ac:dyDescent="0.2">
      <c r="B106" s="18">
        <v>55</v>
      </c>
      <c r="C106" s="18">
        <v>215</v>
      </c>
      <c r="D106" s="19" t="s">
        <v>219</v>
      </c>
      <c r="E106" s="18">
        <v>102</v>
      </c>
      <c r="F106" s="18">
        <v>0</v>
      </c>
      <c r="G106" s="3">
        <f t="shared" si="24"/>
        <v>0.17241379310344829</v>
      </c>
      <c r="H106" s="1">
        <f t="shared" si="25"/>
        <v>0</v>
      </c>
      <c r="I106" s="18">
        <v>87</v>
      </c>
      <c r="J106" s="18">
        <v>0</v>
      </c>
      <c r="K106" s="3">
        <f t="shared" si="26"/>
        <v>0</v>
      </c>
      <c r="L106" s="1">
        <f t="shared" si="27"/>
        <v>1</v>
      </c>
      <c r="M106" s="18">
        <v>107</v>
      </c>
      <c r="N106" s="18" t="s">
        <v>235</v>
      </c>
      <c r="O106" s="3">
        <f t="shared" si="28"/>
        <v>0.22988505747126436</v>
      </c>
      <c r="P106" s="18"/>
      <c r="Q106" s="18">
        <v>108</v>
      </c>
      <c r="R106" s="18" t="s">
        <v>235</v>
      </c>
      <c r="S106" s="3">
        <f t="shared" si="29"/>
        <v>0.2413793103448276</v>
      </c>
      <c r="T106" s="18"/>
      <c r="U106" s="18">
        <v>255</v>
      </c>
      <c r="V106" s="18" t="s">
        <v>235</v>
      </c>
      <c r="W106" s="3">
        <f t="shared" si="30"/>
        <v>1.9310344827586208</v>
      </c>
      <c r="X106" s="1">
        <f t="shared" si="31"/>
        <v>0</v>
      </c>
      <c r="AC106" s="2">
        <f t="shared" si="32"/>
        <v>87</v>
      </c>
    </row>
    <row r="107" spans="2:29" ht="16" x14ac:dyDescent="0.2">
      <c r="B107" s="18">
        <v>114</v>
      </c>
      <c r="C107" s="18">
        <v>393</v>
      </c>
      <c r="D107" s="19" t="s">
        <v>27</v>
      </c>
      <c r="E107" s="18">
        <v>166</v>
      </c>
      <c r="F107" s="18">
        <v>0</v>
      </c>
      <c r="G107" s="3">
        <f t="shared" ref="G107:G127" si="33">(E107-$AC107)/$AC107</f>
        <v>0</v>
      </c>
      <c r="H107" s="1">
        <f t="shared" ref="H107:H127" si="34">IF(E107=$AC107,1,0)</f>
        <v>1</v>
      </c>
      <c r="I107" s="18">
        <v>177</v>
      </c>
      <c r="J107" s="18">
        <v>0</v>
      </c>
      <c r="K107" s="3">
        <f t="shared" ref="K107:K127" si="35">(I107-$AC107)/$AC107</f>
        <v>6.6265060240963861E-2</v>
      </c>
      <c r="L107" s="1">
        <f t="shared" ref="L107:L127" si="36">IF(I107=$AC107,1,0)</f>
        <v>0</v>
      </c>
      <c r="M107" s="18">
        <v>173</v>
      </c>
      <c r="N107" s="18" t="s">
        <v>235</v>
      </c>
      <c r="O107" s="3">
        <f t="shared" ref="O107:O127" si="37">(M107-$AC107)/$AC107</f>
        <v>4.2168674698795178E-2</v>
      </c>
      <c r="P107" s="18"/>
      <c r="Q107" s="18">
        <v>171</v>
      </c>
      <c r="R107" s="18" t="s">
        <v>235</v>
      </c>
      <c r="S107" s="3">
        <f t="shared" ref="S107:S127" si="38">(Q107-$AC107)/$AC107</f>
        <v>3.0120481927710843E-2</v>
      </c>
      <c r="T107" s="18"/>
      <c r="U107" s="18">
        <v>201</v>
      </c>
      <c r="V107" s="18" t="s">
        <v>235</v>
      </c>
      <c r="W107" s="3">
        <f t="shared" ref="W107:W127" si="39">(U107-$AC107)/$AC107</f>
        <v>0.21084337349397592</v>
      </c>
      <c r="X107" s="1">
        <f t="shared" ref="X107:X127" si="40">IF(U107=$AC107,1,0)</f>
        <v>0</v>
      </c>
      <c r="AC107" s="2">
        <f t="shared" ref="AC107:AC127" si="41">MIN(E107,I107,M107,Q107,U107)</f>
        <v>166</v>
      </c>
    </row>
    <row r="108" spans="2:29" ht="16" x14ac:dyDescent="0.2">
      <c r="B108" s="18">
        <v>174</v>
      </c>
      <c r="C108" s="18">
        <v>603</v>
      </c>
      <c r="D108" s="19" t="s">
        <v>221</v>
      </c>
      <c r="E108" s="18">
        <v>263</v>
      </c>
      <c r="F108" s="18">
        <v>0</v>
      </c>
      <c r="G108" s="3">
        <f t="shared" si="33"/>
        <v>2.734375E-2</v>
      </c>
      <c r="H108" s="1">
        <f t="shared" si="34"/>
        <v>0</v>
      </c>
      <c r="I108" s="18">
        <v>256</v>
      </c>
      <c r="J108" s="18">
        <v>0</v>
      </c>
      <c r="K108" s="3">
        <f t="shared" si="35"/>
        <v>0</v>
      </c>
      <c r="L108" s="1">
        <f t="shared" si="36"/>
        <v>1</v>
      </c>
      <c r="M108" s="18">
        <v>269</v>
      </c>
      <c r="N108" s="18" t="s">
        <v>235</v>
      </c>
      <c r="O108" s="3">
        <f t="shared" si="37"/>
        <v>5.078125E-2</v>
      </c>
      <c r="P108" s="18"/>
      <c r="Q108" s="18">
        <v>270</v>
      </c>
      <c r="R108" s="18" t="s">
        <v>235</v>
      </c>
      <c r="S108" s="3">
        <f t="shared" si="38"/>
        <v>5.46875E-2</v>
      </c>
      <c r="T108" s="18"/>
      <c r="U108" s="18">
        <v>270</v>
      </c>
      <c r="V108" s="18" t="s">
        <v>235</v>
      </c>
      <c r="W108" s="3">
        <f t="shared" si="39"/>
        <v>5.46875E-2</v>
      </c>
      <c r="X108" s="1">
        <f t="shared" si="40"/>
        <v>0</v>
      </c>
      <c r="AC108" s="2">
        <f t="shared" si="41"/>
        <v>256</v>
      </c>
    </row>
    <row r="109" spans="2:29" ht="16" x14ac:dyDescent="0.2">
      <c r="B109" s="18">
        <v>433</v>
      </c>
      <c r="C109" s="18">
        <v>1498</v>
      </c>
      <c r="D109" s="19" t="s">
        <v>220</v>
      </c>
      <c r="E109" s="18">
        <v>671</v>
      </c>
      <c r="F109" s="18">
        <v>0</v>
      </c>
      <c r="G109" s="3">
        <f t="shared" si="33"/>
        <v>4.192546583850932E-2</v>
      </c>
      <c r="H109" s="1">
        <f t="shared" si="34"/>
        <v>0</v>
      </c>
      <c r="I109" s="18">
        <v>644</v>
      </c>
      <c r="J109" s="18">
        <v>1.0000000474974513E-3</v>
      </c>
      <c r="K109" s="3">
        <f t="shared" si="35"/>
        <v>0</v>
      </c>
      <c r="L109" s="1">
        <f t="shared" si="36"/>
        <v>1</v>
      </c>
      <c r="M109" s="18">
        <v>677</v>
      </c>
      <c r="N109" s="18" t="s">
        <v>235</v>
      </c>
      <c r="O109" s="3">
        <f t="shared" si="37"/>
        <v>5.124223602484472E-2</v>
      </c>
      <c r="P109" s="18"/>
      <c r="Q109" s="18">
        <v>684</v>
      </c>
      <c r="R109" s="18" t="s">
        <v>235</v>
      </c>
      <c r="S109" s="3">
        <f t="shared" si="38"/>
        <v>6.2111801242236024E-2</v>
      </c>
      <c r="T109" s="18"/>
      <c r="U109" s="18">
        <v>756</v>
      </c>
      <c r="V109" s="18" t="s">
        <v>235</v>
      </c>
      <c r="W109" s="3">
        <f t="shared" si="39"/>
        <v>0.17391304347826086</v>
      </c>
      <c r="X109" s="1">
        <f t="shared" si="40"/>
        <v>0</v>
      </c>
      <c r="AC109" s="2">
        <f t="shared" si="41"/>
        <v>644</v>
      </c>
    </row>
    <row r="110" spans="2:29" ht="16" x14ac:dyDescent="0.2">
      <c r="B110" s="18">
        <v>21</v>
      </c>
      <c r="C110" s="18">
        <v>194</v>
      </c>
      <c r="D110" s="19" t="s">
        <v>222</v>
      </c>
      <c r="E110" s="18">
        <v>42</v>
      </c>
      <c r="F110" s="18">
        <v>0</v>
      </c>
      <c r="G110" s="3">
        <f t="shared" si="33"/>
        <v>0.10526315789473684</v>
      </c>
      <c r="H110" s="1">
        <f t="shared" si="34"/>
        <v>0</v>
      </c>
      <c r="I110" s="18">
        <v>42</v>
      </c>
      <c r="J110" s="18">
        <v>0</v>
      </c>
      <c r="K110" s="3">
        <f t="shared" si="35"/>
        <v>0.10526315789473684</v>
      </c>
      <c r="L110" s="1">
        <f t="shared" si="36"/>
        <v>0</v>
      </c>
      <c r="M110" s="18">
        <v>38</v>
      </c>
      <c r="N110" s="18" t="s">
        <v>235</v>
      </c>
      <c r="O110" s="3">
        <f t="shared" si="37"/>
        <v>0</v>
      </c>
      <c r="P110" s="18"/>
      <c r="Q110" s="18">
        <v>39</v>
      </c>
      <c r="R110" s="18" t="s">
        <v>235</v>
      </c>
      <c r="S110" s="3">
        <f t="shared" si="38"/>
        <v>2.6315789473684209E-2</v>
      </c>
      <c r="T110" s="18"/>
      <c r="U110" s="18">
        <v>57</v>
      </c>
      <c r="V110" s="18" t="s">
        <v>235</v>
      </c>
      <c r="W110" s="3">
        <f t="shared" si="39"/>
        <v>0.5</v>
      </c>
      <c r="X110" s="1">
        <f t="shared" si="40"/>
        <v>0</v>
      </c>
      <c r="AC110" s="2">
        <f t="shared" si="41"/>
        <v>38</v>
      </c>
    </row>
    <row r="111" spans="2:29" ht="16" x14ac:dyDescent="0.2">
      <c r="B111" s="18">
        <v>21</v>
      </c>
      <c r="C111" s="18">
        <v>194</v>
      </c>
      <c r="D111" s="19" t="s">
        <v>28</v>
      </c>
      <c r="E111" s="18">
        <v>42</v>
      </c>
      <c r="F111" s="18">
        <v>0</v>
      </c>
      <c r="G111" s="3">
        <f t="shared" si="33"/>
        <v>7.6923076923076927E-2</v>
      </c>
      <c r="H111" s="1">
        <f t="shared" si="34"/>
        <v>0</v>
      </c>
      <c r="I111" s="18">
        <v>39</v>
      </c>
      <c r="J111" s="18">
        <v>0</v>
      </c>
      <c r="K111" s="3">
        <f t="shared" si="35"/>
        <v>0</v>
      </c>
      <c r="L111" s="1">
        <f t="shared" si="36"/>
        <v>1</v>
      </c>
      <c r="M111" s="18">
        <v>39</v>
      </c>
      <c r="N111" s="18" t="s">
        <v>235</v>
      </c>
      <c r="O111" s="3">
        <f t="shared" si="37"/>
        <v>0</v>
      </c>
      <c r="P111" s="18"/>
      <c r="Q111" s="18">
        <v>39</v>
      </c>
      <c r="R111" s="18" t="s">
        <v>235</v>
      </c>
      <c r="S111" s="3">
        <f t="shared" si="38"/>
        <v>0</v>
      </c>
      <c r="T111" s="18"/>
      <c r="U111" s="18">
        <v>57</v>
      </c>
      <c r="V111" s="18" t="s">
        <v>235</v>
      </c>
      <c r="W111" s="3">
        <f t="shared" si="39"/>
        <v>0.46153846153846156</v>
      </c>
      <c r="X111" s="1">
        <f t="shared" si="40"/>
        <v>0</v>
      </c>
      <c r="AC111" s="2">
        <f t="shared" si="41"/>
        <v>39</v>
      </c>
    </row>
    <row r="112" spans="2:29" ht="16" x14ac:dyDescent="0.2">
      <c r="B112" s="18">
        <v>143</v>
      </c>
      <c r="C112" s="18">
        <v>457</v>
      </c>
      <c r="D112" s="19" t="s">
        <v>223</v>
      </c>
      <c r="E112" s="18">
        <v>230</v>
      </c>
      <c r="F112" s="18">
        <v>0</v>
      </c>
      <c r="G112" s="3">
        <f t="shared" si="33"/>
        <v>0</v>
      </c>
      <c r="H112" s="1">
        <f t="shared" si="34"/>
        <v>1</v>
      </c>
      <c r="I112" s="18">
        <v>232</v>
      </c>
      <c r="J112" s="18">
        <v>0</v>
      </c>
      <c r="K112" s="3">
        <f t="shared" si="35"/>
        <v>8.6956521739130436E-3</v>
      </c>
      <c r="L112" s="1">
        <f t="shared" si="36"/>
        <v>0</v>
      </c>
      <c r="M112" s="18">
        <v>281</v>
      </c>
      <c r="N112" s="18" t="s">
        <v>235</v>
      </c>
      <c r="O112" s="3">
        <f t="shared" si="37"/>
        <v>0.22173913043478261</v>
      </c>
      <c r="P112" s="18"/>
      <c r="Q112" s="18">
        <v>279</v>
      </c>
      <c r="R112" s="18" t="s">
        <v>235</v>
      </c>
      <c r="S112" s="3">
        <f t="shared" si="38"/>
        <v>0.21304347826086956</v>
      </c>
      <c r="T112" s="18"/>
      <c r="U112" s="18">
        <v>351</v>
      </c>
      <c r="V112" s="18" t="s">
        <v>235</v>
      </c>
      <c r="W112" s="3">
        <f t="shared" si="39"/>
        <v>0.52608695652173909</v>
      </c>
      <c r="X112" s="1">
        <f t="shared" si="40"/>
        <v>0</v>
      </c>
      <c r="AC112" s="2">
        <f t="shared" si="41"/>
        <v>230</v>
      </c>
    </row>
    <row r="113" spans="2:29" ht="16" x14ac:dyDescent="0.2">
      <c r="B113" s="18">
        <v>575</v>
      </c>
      <c r="C113" s="18">
        <v>1848</v>
      </c>
      <c r="D113" s="19" t="s">
        <v>224</v>
      </c>
      <c r="E113" s="18">
        <v>935</v>
      </c>
      <c r="F113" s="18">
        <v>0</v>
      </c>
      <c r="G113" s="3">
        <f t="shared" si="33"/>
        <v>2.4096385542168676E-2</v>
      </c>
      <c r="H113" s="1">
        <f t="shared" si="34"/>
        <v>0</v>
      </c>
      <c r="I113" s="18">
        <v>913</v>
      </c>
      <c r="J113" s="18">
        <v>0</v>
      </c>
      <c r="K113" s="3">
        <f t="shared" si="35"/>
        <v>0</v>
      </c>
      <c r="L113" s="1">
        <f t="shared" si="36"/>
        <v>1</v>
      </c>
      <c r="M113" s="18">
        <v>1190</v>
      </c>
      <c r="N113" s="18" t="s">
        <v>235</v>
      </c>
      <c r="O113" s="3">
        <f t="shared" si="37"/>
        <v>0.30339539978094193</v>
      </c>
      <c r="P113" s="18"/>
      <c r="Q113" s="18">
        <v>1186</v>
      </c>
      <c r="R113" s="18" t="s">
        <v>235</v>
      </c>
      <c r="S113" s="3">
        <f t="shared" si="38"/>
        <v>0.29901423877327493</v>
      </c>
      <c r="T113" s="18"/>
      <c r="U113" s="18">
        <v>1431</v>
      </c>
      <c r="V113" s="18" t="s">
        <v>235</v>
      </c>
      <c r="W113" s="3">
        <f t="shared" si="39"/>
        <v>0.56736035049288058</v>
      </c>
      <c r="X113" s="1">
        <f t="shared" si="40"/>
        <v>0</v>
      </c>
      <c r="AC113" s="2">
        <f t="shared" si="41"/>
        <v>913</v>
      </c>
    </row>
    <row r="114" spans="2:29" ht="16" x14ac:dyDescent="0.2">
      <c r="B114" s="18">
        <v>43</v>
      </c>
      <c r="C114" s="18">
        <v>193</v>
      </c>
      <c r="D114" s="19" t="s">
        <v>29</v>
      </c>
      <c r="E114" s="18">
        <v>79</v>
      </c>
      <c r="F114" s="18">
        <v>0</v>
      </c>
      <c r="G114" s="3">
        <f t="shared" si="33"/>
        <v>5.3333333333333337E-2</v>
      </c>
      <c r="H114" s="1">
        <f t="shared" si="34"/>
        <v>0</v>
      </c>
      <c r="I114" s="18">
        <v>75</v>
      </c>
      <c r="J114" s="18">
        <v>0</v>
      </c>
      <c r="K114" s="3">
        <f t="shared" si="35"/>
        <v>0</v>
      </c>
      <c r="L114" s="1">
        <f t="shared" si="36"/>
        <v>1</v>
      </c>
      <c r="M114" s="18">
        <v>86</v>
      </c>
      <c r="N114" s="18" t="s">
        <v>235</v>
      </c>
      <c r="O114" s="3">
        <f t="shared" si="37"/>
        <v>0.14666666666666667</v>
      </c>
      <c r="P114" s="18"/>
      <c r="Q114" s="18">
        <v>84</v>
      </c>
      <c r="R114" s="18" t="s">
        <v>235</v>
      </c>
      <c r="S114" s="3">
        <f t="shared" si="38"/>
        <v>0.12</v>
      </c>
      <c r="T114" s="18"/>
      <c r="U114" s="18">
        <v>117</v>
      </c>
      <c r="V114" s="18" t="s">
        <v>235</v>
      </c>
      <c r="W114" s="3">
        <f t="shared" si="39"/>
        <v>0.56000000000000005</v>
      </c>
      <c r="X114" s="1">
        <f t="shared" si="40"/>
        <v>0</v>
      </c>
      <c r="AC114" s="2">
        <f t="shared" si="41"/>
        <v>75</v>
      </c>
    </row>
    <row r="115" spans="2:29" ht="16" x14ac:dyDescent="0.2">
      <c r="B115" s="18">
        <v>9</v>
      </c>
      <c r="C115" s="18">
        <v>35</v>
      </c>
      <c r="D115" s="19" t="s">
        <v>30</v>
      </c>
      <c r="E115" s="18">
        <v>15</v>
      </c>
      <c r="F115" s="18">
        <v>0</v>
      </c>
      <c r="G115" s="3">
        <f t="shared" si="33"/>
        <v>0.25</v>
      </c>
      <c r="H115" s="1">
        <f t="shared" si="34"/>
        <v>0</v>
      </c>
      <c r="I115" s="18">
        <v>15</v>
      </c>
      <c r="J115" s="18">
        <v>0</v>
      </c>
      <c r="K115" s="3">
        <f t="shared" si="35"/>
        <v>0.25</v>
      </c>
      <c r="L115" s="1">
        <f t="shared" si="36"/>
        <v>0</v>
      </c>
      <c r="M115" s="18">
        <v>12</v>
      </c>
      <c r="N115" s="18" t="s">
        <v>235</v>
      </c>
      <c r="O115" s="3">
        <f t="shared" si="37"/>
        <v>0</v>
      </c>
      <c r="P115" s="18"/>
      <c r="Q115" s="18">
        <v>12</v>
      </c>
      <c r="R115" s="18" t="s">
        <v>235</v>
      </c>
      <c r="S115" s="3">
        <f t="shared" si="38"/>
        <v>0</v>
      </c>
      <c r="T115" s="18"/>
      <c r="U115" s="18">
        <v>24</v>
      </c>
      <c r="V115" s="18" t="s">
        <v>235</v>
      </c>
      <c r="W115" s="3">
        <f t="shared" si="39"/>
        <v>1</v>
      </c>
      <c r="X115" s="1">
        <f t="shared" si="40"/>
        <v>0</v>
      </c>
      <c r="AC115" s="2">
        <f t="shared" si="41"/>
        <v>12</v>
      </c>
    </row>
    <row r="116" spans="2:29" ht="16" x14ac:dyDescent="0.2">
      <c r="B116" s="18">
        <v>3</v>
      </c>
      <c r="C116" s="18">
        <v>8</v>
      </c>
      <c r="D116" s="19" t="s">
        <v>225</v>
      </c>
      <c r="E116" s="18">
        <v>2</v>
      </c>
      <c r="F116" s="18">
        <v>0</v>
      </c>
      <c r="G116" s="3">
        <f t="shared" si="33"/>
        <v>0</v>
      </c>
      <c r="H116" s="1">
        <f t="shared" si="34"/>
        <v>1</v>
      </c>
      <c r="I116" s="18">
        <v>2</v>
      </c>
      <c r="J116" s="18">
        <v>0</v>
      </c>
      <c r="K116" s="3">
        <f t="shared" si="35"/>
        <v>0</v>
      </c>
      <c r="L116" s="1">
        <f t="shared" si="36"/>
        <v>1</v>
      </c>
      <c r="M116" s="18">
        <v>3</v>
      </c>
      <c r="N116" s="18" t="s">
        <v>235</v>
      </c>
      <c r="O116" s="3">
        <f t="shared" si="37"/>
        <v>0.5</v>
      </c>
      <c r="P116" s="18"/>
      <c r="Q116" s="18">
        <v>3</v>
      </c>
      <c r="R116" s="18" t="s">
        <v>235</v>
      </c>
      <c r="S116" s="3">
        <f t="shared" si="38"/>
        <v>0.5</v>
      </c>
      <c r="T116" s="18"/>
      <c r="U116" s="18">
        <v>3</v>
      </c>
      <c r="V116" s="18" t="s">
        <v>235</v>
      </c>
      <c r="W116" s="3">
        <f t="shared" si="39"/>
        <v>0.5</v>
      </c>
      <c r="X116" s="1">
        <f t="shared" si="40"/>
        <v>0</v>
      </c>
      <c r="AC116" s="2">
        <f t="shared" si="41"/>
        <v>2</v>
      </c>
    </row>
    <row r="117" spans="2:29" ht="16" x14ac:dyDescent="0.2">
      <c r="B117" s="18">
        <v>143</v>
      </c>
      <c r="C117" s="18">
        <v>402</v>
      </c>
      <c r="D117" s="19" t="s">
        <v>226</v>
      </c>
      <c r="E117" s="18">
        <v>156</v>
      </c>
      <c r="F117" s="18">
        <v>0</v>
      </c>
      <c r="G117" s="3">
        <f t="shared" si="33"/>
        <v>0</v>
      </c>
      <c r="H117" s="1">
        <f t="shared" si="34"/>
        <v>1</v>
      </c>
      <c r="I117" s="18">
        <v>156</v>
      </c>
      <c r="J117" s="18">
        <v>0</v>
      </c>
      <c r="K117" s="3">
        <f t="shared" si="35"/>
        <v>0</v>
      </c>
      <c r="L117" s="1">
        <f t="shared" si="36"/>
        <v>1</v>
      </c>
      <c r="M117" s="18">
        <v>233</v>
      </c>
      <c r="N117" s="18" t="s">
        <v>235</v>
      </c>
      <c r="O117" s="3">
        <f t="shared" si="37"/>
        <v>0.49358974358974361</v>
      </c>
      <c r="P117" s="18"/>
      <c r="Q117" s="18">
        <v>231</v>
      </c>
      <c r="R117" s="18" t="s">
        <v>235</v>
      </c>
      <c r="S117" s="3">
        <f t="shared" si="38"/>
        <v>0.48076923076923078</v>
      </c>
      <c r="T117" s="18"/>
      <c r="U117" s="18">
        <v>357</v>
      </c>
      <c r="V117" s="18" t="s">
        <v>235</v>
      </c>
      <c r="W117" s="3">
        <f t="shared" si="39"/>
        <v>1.2884615384615385</v>
      </c>
      <c r="X117" s="1">
        <f t="shared" si="40"/>
        <v>0</v>
      </c>
      <c r="AC117" s="2">
        <f t="shared" si="41"/>
        <v>156</v>
      </c>
    </row>
    <row r="118" spans="2:29" ht="16" x14ac:dyDescent="0.2">
      <c r="B118" s="18">
        <v>429</v>
      </c>
      <c r="C118" s="18">
        <v>1783</v>
      </c>
      <c r="D118" s="19" t="s">
        <v>227</v>
      </c>
      <c r="E118" s="18">
        <v>1218</v>
      </c>
      <c r="F118" s="18">
        <v>0</v>
      </c>
      <c r="G118" s="3">
        <f t="shared" si="33"/>
        <v>0</v>
      </c>
      <c r="H118" s="1">
        <f t="shared" si="34"/>
        <v>1</v>
      </c>
      <c r="I118" s="18">
        <v>1236</v>
      </c>
      <c r="J118" s="18">
        <v>0</v>
      </c>
      <c r="K118" s="3">
        <f t="shared" si="35"/>
        <v>1.4778325123152709E-2</v>
      </c>
      <c r="L118" s="1">
        <f t="shared" si="36"/>
        <v>0</v>
      </c>
      <c r="M118" s="18">
        <v>1646</v>
      </c>
      <c r="N118" s="18" t="s">
        <v>235</v>
      </c>
      <c r="O118" s="3">
        <f t="shared" si="37"/>
        <v>0.35139573070607555</v>
      </c>
      <c r="P118" s="18"/>
      <c r="Q118" s="18">
        <v>1326</v>
      </c>
      <c r="R118" s="18" t="s">
        <v>235</v>
      </c>
      <c r="S118" s="3">
        <f t="shared" si="38"/>
        <v>8.8669950738916259E-2</v>
      </c>
      <c r="T118" s="18"/>
      <c r="U118" s="18">
        <v>1476</v>
      </c>
      <c r="V118" s="18" t="s">
        <v>235</v>
      </c>
      <c r="W118" s="3">
        <f t="shared" si="39"/>
        <v>0.21182266009852216</v>
      </c>
      <c r="X118" s="1">
        <f t="shared" si="40"/>
        <v>0</v>
      </c>
      <c r="AC118" s="2">
        <f t="shared" si="41"/>
        <v>1218</v>
      </c>
    </row>
    <row r="119" spans="2:29" ht="16" x14ac:dyDescent="0.2">
      <c r="B119" s="18">
        <v>5</v>
      </c>
      <c r="C119" s="18">
        <v>1122</v>
      </c>
      <c r="D119" s="19" t="s">
        <v>229</v>
      </c>
      <c r="E119" s="18">
        <v>345</v>
      </c>
      <c r="F119" s="18">
        <v>0</v>
      </c>
      <c r="G119" s="3">
        <f t="shared" si="33"/>
        <v>0</v>
      </c>
      <c r="H119" s="1">
        <f t="shared" si="34"/>
        <v>1</v>
      </c>
      <c r="I119" s="18">
        <v>356</v>
      </c>
      <c r="J119" s="18">
        <v>0</v>
      </c>
      <c r="K119" s="3">
        <f t="shared" si="35"/>
        <v>3.1884057971014491E-2</v>
      </c>
      <c r="L119" s="1">
        <f t="shared" si="36"/>
        <v>0</v>
      </c>
      <c r="M119" s="18">
        <v>488</v>
      </c>
      <c r="N119" s="18" t="s">
        <v>235</v>
      </c>
      <c r="O119" s="3">
        <f t="shared" si="37"/>
        <v>0.41449275362318838</v>
      </c>
      <c r="P119" s="18"/>
      <c r="Q119" s="18">
        <v>486</v>
      </c>
      <c r="R119" s="18" t="s">
        <v>235</v>
      </c>
      <c r="S119" s="3">
        <f t="shared" si="38"/>
        <v>0.40869565217391307</v>
      </c>
      <c r="T119" s="18"/>
      <c r="U119" s="18">
        <v>462</v>
      </c>
      <c r="V119" s="18" t="s">
        <v>235</v>
      </c>
      <c r="W119" s="3">
        <f t="shared" si="39"/>
        <v>0.33913043478260868</v>
      </c>
      <c r="X119" s="1">
        <f t="shared" si="40"/>
        <v>0</v>
      </c>
      <c r="AC119" s="2">
        <f t="shared" si="41"/>
        <v>345</v>
      </c>
    </row>
    <row r="120" spans="2:29" ht="16" x14ac:dyDescent="0.2">
      <c r="B120" s="18">
        <v>5</v>
      </c>
      <c r="C120" s="18">
        <v>1122</v>
      </c>
      <c r="D120" s="19" t="s">
        <v>251</v>
      </c>
      <c r="E120" s="18">
        <v>366</v>
      </c>
      <c r="F120" s="18">
        <v>0</v>
      </c>
      <c r="G120" s="3">
        <f t="shared" si="33"/>
        <v>4.2735042735042736E-2</v>
      </c>
      <c r="H120" s="1">
        <f t="shared" si="34"/>
        <v>0</v>
      </c>
      <c r="I120" s="18">
        <v>351</v>
      </c>
      <c r="J120" s="18">
        <v>1.0000000474974513E-3</v>
      </c>
      <c r="K120" s="3">
        <f t="shared" si="35"/>
        <v>0</v>
      </c>
      <c r="L120" s="1">
        <f t="shared" si="36"/>
        <v>1</v>
      </c>
      <c r="M120" s="18">
        <v>683</v>
      </c>
      <c r="N120" s="18" t="s">
        <v>235</v>
      </c>
      <c r="O120" s="3">
        <f t="shared" si="37"/>
        <v>0.94586894586894588</v>
      </c>
      <c r="P120" s="18"/>
      <c r="Q120" s="18">
        <v>471</v>
      </c>
      <c r="R120" s="18" t="s">
        <v>235</v>
      </c>
      <c r="S120" s="3">
        <f t="shared" si="38"/>
        <v>0.34188034188034189</v>
      </c>
      <c r="T120" s="18"/>
      <c r="U120" s="18">
        <v>450</v>
      </c>
      <c r="V120" s="18" t="s">
        <v>235</v>
      </c>
      <c r="W120" s="3">
        <f t="shared" si="39"/>
        <v>0.28205128205128205</v>
      </c>
      <c r="X120" s="1">
        <f t="shared" si="40"/>
        <v>0</v>
      </c>
      <c r="AC120" s="2">
        <f t="shared" si="41"/>
        <v>351</v>
      </c>
    </row>
    <row r="121" spans="2:29" ht="16" x14ac:dyDescent="0.2">
      <c r="B121" s="18">
        <v>5</v>
      </c>
      <c r="C121" s="18">
        <v>1122</v>
      </c>
      <c r="D121" s="19" t="s">
        <v>228</v>
      </c>
      <c r="E121" s="18">
        <v>368</v>
      </c>
      <c r="F121" s="18">
        <v>1.0000000474974513E-3</v>
      </c>
      <c r="G121" s="3">
        <f t="shared" si="33"/>
        <v>0</v>
      </c>
      <c r="H121" s="1">
        <f t="shared" si="34"/>
        <v>1</v>
      </c>
      <c r="I121" s="18">
        <v>372</v>
      </c>
      <c r="J121" s="18">
        <v>0</v>
      </c>
      <c r="K121" s="3">
        <f t="shared" si="35"/>
        <v>1.0869565217391304E-2</v>
      </c>
      <c r="L121" s="1">
        <f t="shared" si="36"/>
        <v>0</v>
      </c>
      <c r="M121" s="18">
        <v>665</v>
      </c>
      <c r="N121" s="18" t="s">
        <v>235</v>
      </c>
      <c r="O121" s="3">
        <f t="shared" si="37"/>
        <v>0.80706521739130432</v>
      </c>
      <c r="P121" s="18"/>
      <c r="Q121" s="18">
        <v>495</v>
      </c>
      <c r="R121" s="18" t="s">
        <v>235</v>
      </c>
      <c r="S121" s="3">
        <f t="shared" si="38"/>
        <v>0.34510869565217389</v>
      </c>
      <c r="T121" s="18"/>
      <c r="U121" s="18">
        <v>477</v>
      </c>
      <c r="V121" s="18" t="s">
        <v>235</v>
      </c>
      <c r="W121" s="3">
        <f t="shared" si="39"/>
        <v>0.29619565217391303</v>
      </c>
      <c r="X121" s="1">
        <f t="shared" si="40"/>
        <v>0</v>
      </c>
      <c r="AC121" s="2">
        <f t="shared" si="41"/>
        <v>368</v>
      </c>
    </row>
    <row r="122" spans="2:29" ht="16" x14ac:dyDescent="0.2">
      <c r="B122" s="18">
        <v>558</v>
      </c>
      <c r="C122" s="18">
        <v>5966</v>
      </c>
      <c r="D122" s="19" t="s">
        <v>31</v>
      </c>
      <c r="E122" s="18">
        <v>2789</v>
      </c>
      <c r="F122" s="18">
        <v>1.0000000474974513E-3</v>
      </c>
      <c r="G122" s="3">
        <f t="shared" si="33"/>
        <v>4.6829971181556193E-3</v>
      </c>
      <c r="H122" s="1">
        <f t="shared" si="34"/>
        <v>0</v>
      </c>
      <c r="I122" s="18">
        <v>2776</v>
      </c>
      <c r="J122" s="18">
        <v>2.0000000949949026E-3</v>
      </c>
      <c r="K122" s="3">
        <f t="shared" si="35"/>
        <v>0</v>
      </c>
      <c r="L122" s="1">
        <f t="shared" si="36"/>
        <v>1</v>
      </c>
      <c r="M122" s="18">
        <v>3788</v>
      </c>
      <c r="N122" s="18" t="s">
        <v>235</v>
      </c>
      <c r="O122" s="3">
        <f t="shared" si="37"/>
        <v>0.36455331412103748</v>
      </c>
      <c r="P122" s="18"/>
      <c r="Q122" s="18">
        <v>3169</v>
      </c>
      <c r="R122" s="18" t="s">
        <v>235</v>
      </c>
      <c r="S122" s="3">
        <f t="shared" si="38"/>
        <v>0.1415706051873199</v>
      </c>
      <c r="T122" s="18"/>
      <c r="U122" s="18">
        <v>3177</v>
      </c>
      <c r="V122" s="18" t="s">
        <v>235</v>
      </c>
      <c r="W122" s="3">
        <f t="shared" si="39"/>
        <v>0.14445244956772335</v>
      </c>
      <c r="X122" s="1">
        <f t="shared" si="40"/>
        <v>0</v>
      </c>
      <c r="AC122" s="2">
        <f t="shared" si="41"/>
        <v>2776</v>
      </c>
    </row>
    <row r="123" spans="2:29" ht="16" x14ac:dyDescent="0.2">
      <c r="B123" s="18">
        <v>35</v>
      </c>
      <c r="C123" s="18">
        <v>223</v>
      </c>
      <c r="D123" s="19" t="s">
        <v>230</v>
      </c>
      <c r="E123" s="18">
        <v>42</v>
      </c>
      <c r="F123" s="18">
        <v>1.0000000474974513E-3</v>
      </c>
      <c r="G123" s="3">
        <f t="shared" si="33"/>
        <v>0</v>
      </c>
      <c r="H123" s="1">
        <f t="shared" si="34"/>
        <v>1</v>
      </c>
      <c r="I123" s="18">
        <v>42</v>
      </c>
      <c r="J123" s="18">
        <v>1.0000000474974513E-3</v>
      </c>
      <c r="K123" s="3">
        <f t="shared" si="35"/>
        <v>0</v>
      </c>
      <c r="L123" s="1">
        <f t="shared" si="36"/>
        <v>1</v>
      </c>
      <c r="M123" s="18">
        <v>69</v>
      </c>
      <c r="N123" s="18" t="s">
        <v>235</v>
      </c>
      <c r="O123" s="3">
        <f t="shared" si="37"/>
        <v>0.6428571428571429</v>
      </c>
      <c r="P123" s="18"/>
      <c r="Q123" s="18">
        <v>69</v>
      </c>
      <c r="R123" s="18" t="s">
        <v>235</v>
      </c>
      <c r="S123" s="3">
        <f t="shared" si="38"/>
        <v>0.6428571428571429</v>
      </c>
      <c r="T123" s="18"/>
      <c r="U123" s="18">
        <v>126</v>
      </c>
      <c r="V123" s="18" t="s">
        <v>235</v>
      </c>
      <c r="W123" s="3">
        <f t="shared" si="39"/>
        <v>2</v>
      </c>
      <c r="X123" s="1">
        <f t="shared" si="40"/>
        <v>0</v>
      </c>
      <c r="AC123" s="2">
        <f t="shared" si="41"/>
        <v>42</v>
      </c>
    </row>
    <row r="124" spans="2:29" ht="16" x14ac:dyDescent="0.2">
      <c r="B124" s="18">
        <v>22</v>
      </c>
      <c r="C124" s="18">
        <v>701</v>
      </c>
      <c r="D124" s="19" t="s">
        <v>231</v>
      </c>
      <c r="E124" s="18">
        <v>210</v>
      </c>
      <c r="F124" s="18">
        <v>1.0000000474974513E-3</v>
      </c>
      <c r="G124" s="3">
        <f t="shared" si="33"/>
        <v>1.4492753623188406E-2</v>
      </c>
      <c r="H124" s="1">
        <f t="shared" si="34"/>
        <v>0</v>
      </c>
      <c r="I124" s="18">
        <v>207</v>
      </c>
      <c r="J124" s="18">
        <v>1.0000000474974513E-3</v>
      </c>
      <c r="K124" s="3">
        <f t="shared" si="35"/>
        <v>0</v>
      </c>
      <c r="L124" s="1">
        <f t="shared" si="36"/>
        <v>1</v>
      </c>
      <c r="M124" s="18">
        <v>275</v>
      </c>
      <c r="N124" s="18" t="s">
        <v>235</v>
      </c>
      <c r="O124" s="3">
        <f t="shared" si="37"/>
        <v>0.32850241545893721</v>
      </c>
      <c r="P124" s="18"/>
      <c r="Q124" s="18">
        <v>270</v>
      </c>
      <c r="R124" s="18" t="s">
        <v>235</v>
      </c>
      <c r="S124" s="3">
        <f t="shared" si="38"/>
        <v>0.30434782608695654</v>
      </c>
      <c r="T124" s="18"/>
      <c r="U124" s="18">
        <v>294</v>
      </c>
      <c r="V124" s="18" t="s">
        <v>235</v>
      </c>
      <c r="W124" s="3">
        <f t="shared" si="39"/>
        <v>0.42028985507246375</v>
      </c>
      <c r="X124" s="1">
        <f t="shared" si="40"/>
        <v>0</v>
      </c>
      <c r="AC124" s="2">
        <f t="shared" si="41"/>
        <v>207</v>
      </c>
    </row>
    <row r="125" spans="2:29" ht="16" x14ac:dyDescent="0.2">
      <c r="B125" s="18">
        <v>43</v>
      </c>
      <c r="C125" s="18">
        <v>336</v>
      </c>
      <c r="D125" s="19" t="s">
        <v>32</v>
      </c>
      <c r="E125" s="18">
        <v>109</v>
      </c>
      <c r="F125" s="18">
        <v>0</v>
      </c>
      <c r="G125" s="3">
        <f t="shared" si="33"/>
        <v>0</v>
      </c>
      <c r="H125" s="1">
        <f t="shared" si="34"/>
        <v>1</v>
      </c>
      <c r="I125" s="18">
        <v>112</v>
      </c>
      <c r="J125" s="18">
        <v>0</v>
      </c>
      <c r="K125" s="3">
        <f t="shared" si="35"/>
        <v>2.7522935779816515E-2</v>
      </c>
      <c r="L125" s="1">
        <f t="shared" si="36"/>
        <v>0</v>
      </c>
      <c r="M125" s="18">
        <v>143</v>
      </c>
      <c r="N125" s="18" t="s">
        <v>235</v>
      </c>
      <c r="O125" s="3">
        <f t="shared" si="37"/>
        <v>0.31192660550458717</v>
      </c>
      <c r="P125" s="18"/>
      <c r="Q125" s="18">
        <v>144</v>
      </c>
      <c r="R125" s="18" t="s">
        <v>235</v>
      </c>
      <c r="S125" s="3">
        <f t="shared" si="38"/>
        <v>0.32110091743119268</v>
      </c>
      <c r="T125" s="18"/>
      <c r="U125" s="18">
        <v>177</v>
      </c>
      <c r="V125" s="18" t="s">
        <v>235</v>
      </c>
      <c r="W125" s="3">
        <f t="shared" si="39"/>
        <v>0.62385321100917435</v>
      </c>
      <c r="X125" s="1">
        <f t="shared" si="40"/>
        <v>0</v>
      </c>
      <c r="AC125" s="2">
        <f t="shared" si="41"/>
        <v>109</v>
      </c>
    </row>
    <row r="126" spans="2:29" ht="16" x14ac:dyDescent="0.2">
      <c r="B126" s="18">
        <v>16</v>
      </c>
      <c r="C126" s="18">
        <v>110</v>
      </c>
      <c r="D126" s="19" t="s">
        <v>232</v>
      </c>
      <c r="E126" s="18">
        <v>20</v>
      </c>
      <c r="F126" s="18">
        <v>0</v>
      </c>
      <c r="G126" s="3">
        <f t="shared" si="33"/>
        <v>0</v>
      </c>
      <c r="H126" s="1">
        <f t="shared" si="34"/>
        <v>1</v>
      </c>
      <c r="I126" s="18">
        <v>21</v>
      </c>
      <c r="J126" s="18">
        <v>0</v>
      </c>
      <c r="K126" s="3">
        <f t="shared" si="35"/>
        <v>0.05</v>
      </c>
      <c r="L126" s="1">
        <f t="shared" si="36"/>
        <v>0</v>
      </c>
      <c r="M126" s="18">
        <v>38</v>
      </c>
      <c r="N126" s="18" t="s">
        <v>235</v>
      </c>
      <c r="O126" s="3">
        <f t="shared" si="37"/>
        <v>0.9</v>
      </c>
      <c r="P126" s="18"/>
      <c r="Q126" s="18">
        <v>36</v>
      </c>
      <c r="R126" s="18" t="s">
        <v>235</v>
      </c>
      <c r="S126" s="3">
        <f t="shared" si="38"/>
        <v>0.8</v>
      </c>
      <c r="T126" s="18"/>
      <c r="U126" s="18">
        <v>33</v>
      </c>
      <c r="V126" s="18" t="s">
        <v>235</v>
      </c>
      <c r="W126" s="3">
        <f t="shared" si="39"/>
        <v>0.65</v>
      </c>
      <c r="X126" s="1">
        <f t="shared" si="40"/>
        <v>0</v>
      </c>
      <c r="AC126" s="2">
        <f t="shared" si="41"/>
        <v>20</v>
      </c>
    </row>
    <row r="127" spans="2:29" ht="16" x14ac:dyDescent="0.2">
      <c r="B127" s="18">
        <v>505</v>
      </c>
      <c r="C127" s="18">
        <v>1423</v>
      </c>
      <c r="D127" s="19" t="s">
        <v>233</v>
      </c>
      <c r="E127" s="18">
        <v>534</v>
      </c>
      <c r="F127" s="18">
        <v>1.0000000474974513E-3</v>
      </c>
      <c r="G127" s="21">
        <f t="shared" si="33"/>
        <v>1.9083969465648856E-2</v>
      </c>
      <c r="H127" s="22">
        <f t="shared" si="34"/>
        <v>0</v>
      </c>
      <c r="I127" s="23">
        <v>524</v>
      </c>
      <c r="J127" s="23">
        <v>1.0000000474974513E-3</v>
      </c>
      <c r="K127" s="21">
        <f t="shared" si="35"/>
        <v>0</v>
      </c>
      <c r="L127" s="22">
        <f t="shared" si="36"/>
        <v>1</v>
      </c>
      <c r="M127" s="23">
        <v>875</v>
      </c>
      <c r="N127" s="23" t="s">
        <v>235</v>
      </c>
      <c r="O127" s="21">
        <f t="shared" si="37"/>
        <v>0.66984732824427484</v>
      </c>
      <c r="P127" s="23"/>
      <c r="Q127" s="23">
        <v>855</v>
      </c>
      <c r="R127" s="23" t="s">
        <v>235</v>
      </c>
      <c r="S127" s="21">
        <f t="shared" si="38"/>
        <v>0.63167938931297707</v>
      </c>
      <c r="T127" s="23"/>
      <c r="U127" s="23">
        <v>1263</v>
      </c>
      <c r="V127" s="23" t="s">
        <v>235</v>
      </c>
      <c r="W127" s="21">
        <f t="shared" si="39"/>
        <v>1.4103053435114503</v>
      </c>
      <c r="X127" s="22">
        <f t="shared" si="40"/>
        <v>0</v>
      </c>
      <c r="AC127" s="2">
        <f t="shared" si="41"/>
        <v>524</v>
      </c>
    </row>
    <row r="128" spans="2:29" ht="16" x14ac:dyDescent="0.2">
      <c r="G128" s="24"/>
      <c r="H128" s="25"/>
      <c r="I128" s="20"/>
      <c r="J128" s="20"/>
      <c r="K128" s="24"/>
      <c r="L128" s="25"/>
      <c r="M128" s="20"/>
      <c r="N128" s="20"/>
      <c r="O128" s="24"/>
      <c r="P128" s="20"/>
      <c r="Q128" s="20"/>
      <c r="R128" s="20"/>
      <c r="S128" s="24"/>
      <c r="T128" s="20"/>
      <c r="U128" s="20"/>
      <c r="V128" s="20"/>
      <c r="W128" s="24"/>
      <c r="X128" s="25"/>
      <c r="AC128" s="2"/>
    </row>
    <row r="129" spans="29:29" ht="16" x14ac:dyDescent="0.2">
      <c r="AC129" s="2"/>
    </row>
    <row r="130" spans="29:29" ht="16" x14ac:dyDescent="0.2">
      <c r="AC130" s="2"/>
    </row>
    <row r="131" spans="29:29" ht="16" x14ac:dyDescent="0.2">
      <c r="AC131" s="2"/>
    </row>
    <row r="132" spans="29:29" ht="16" x14ac:dyDescent="0.2">
      <c r="AC132" s="2"/>
    </row>
    <row r="133" spans="29:29" ht="16" x14ac:dyDescent="0.2">
      <c r="AC133" s="2"/>
    </row>
    <row r="134" spans="29:29" ht="16" x14ac:dyDescent="0.2">
      <c r="AC134" s="2"/>
    </row>
    <row r="135" spans="29:29" ht="16" x14ac:dyDescent="0.2">
      <c r="AC135" s="2"/>
    </row>
    <row r="136" spans="29:29" ht="16" x14ac:dyDescent="0.2">
      <c r="AC136" s="2"/>
    </row>
    <row r="137" spans="29:29" ht="16" x14ac:dyDescent="0.2">
      <c r="AC137" s="2"/>
    </row>
    <row r="138" spans="29:29" ht="16" x14ac:dyDescent="0.2">
      <c r="AC138" s="2"/>
    </row>
    <row r="139" spans="29:29" ht="16" x14ac:dyDescent="0.2">
      <c r="AC139" s="2"/>
    </row>
    <row r="140" spans="29:29" ht="16" x14ac:dyDescent="0.2">
      <c r="AC140" s="2"/>
    </row>
    <row r="141" spans="29:29" ht="16" x14ac:dyDescent="0.2">
      <c r="AC141" s="2"/>
    </row>
    <row r="142" spans="29:29" ht="16" x14ac:dyDescent="0.2">
      <c r="AC142" s="2"/>
    </row>
    <row r="143" spans="29:29" ht="16" x14ac:dyDescent="0.2">
      <c r="AC143" s="2"/>
    </row>
    <row r="144" spans="29:29" ht="16" x14ac:dyDescent="0.2">
      <c r="AC144" s="2"/>
    </row>
    <row r="145" spans="29:29" ht="16" x14ac:dyDescent="0.2">
      <c r="AC145" s="2"/>
    </row>
    <row r="146" spans="29:29" ht="16" x14ac:dyDescent="0.2">
      <c r="AC146" s="2"/>
    </row>
    <row r="147" spans="29:29" ht="16" x14ac:dyDescent="0.2">
      <c r="AC147" s="2"/>
    </row>
    <row r="148" spans="29:29" ht="16" x14ac:dyDescent="0.2">
      <c r="AC148" s="2"/>
    </row>
    <row r="149" spans="29:29" ht="16" x14ac:dyDescent="0.2">
      <c r="AC149" s="2"/>
    </row>
    <row r="150" spans="29:29" ht="16" x14ac:dyDescent="0.2">
      <c r="AC150" s="2"/>
    </row>
    <row r="151" spans="29:29" ht="16" x14ac:dyDescent="0.2">
      <c r="AC151" s="2"/>
    </row>
    <row r="152" spans="29:29" ht="16" x14ac:dyDescent="0.2">
      <c r="AC152" s="2"/>
    </row>
    <row r="153" spans="29:29" ht="16" x14ac:dyDescent="0.2">
      <c r="AC153" s="2"/>
    </row>
    <row r="154" spans="29:29" ht="16" x14ac:dyDescent="0.2">
      <c r="AC154" s="2"/>
    </row>
    <row r="155" spans="29:29" ht="16" x14ac:dyDescent="0.2">
      <c r="AC155" s="2"/>
    </row>
    <row r="156" spans="29:29" ht="16" x14ac:dyDescent="0.2">
      <c r="AC156" s="2"/>
    </row>
    <row r="157" spans="29:29" ht="16" x14ac:dyDescent="0.2">
      <c r="AC157" s="2"/>
    </row>
    <row r="158" spans="29:29" ht="16" x14ac:dyDescent="0.2">
      <c r="AC158" s="2"/>
    </row>
    <row r="159" spans="29:29" ht="16" x14ac:dyDescent="0.2">
      <c r="AC159" s="2"/>
    </row>
    <row r="160" spans="29:29" ht="16" x14ac:dyDescent="0.2">
      <c r="AC160" s="2"/>
    </row>
    <row r="161" spans="29:29" ht="16" x14ac:dyDescent="0.2">
      <c r="AC161" s="2"/>
    </row>
    <row r="162" spans="29:29" ht="16" x14ac:dyDescent="0.2">
      <c r="AC162" s="2"/>
    </row>
    <row r="163" spans="29:29" ht="16" x14ac:dyDescent="0.2">
      <c r="AC163" s="2"/>
    </row>
    <row r="164" spans="29:29" ht="16" x14ac:dyDescent="0.2">
      <c r="AC164" s="2"/>
    </row>
    <row r="165" spans="29:29" ht="16" x14ac:dyDescent="0.2">
      <c r="AC165" s="2"/>
    </row>
    <row r="166" spans="29:29" ht="16" x14ac:dyDescent="0.2">
      <c r="AC166" s="2"/>
    </row>
    <row r="167" spans="29:29" ht="16" x14ac:dyDescent="0.2">
      <c r="AC167" s="2"/>
    </row>
    <row r="168" spans="29:29" ht="16" x14ac:dyDescent="0.2">
      <c r="AC168" s="2"/>
    </row>
    <row r="169" spans="29:29" ht="16" x14ac:dyDescent="0.2">
      <c r="AC169" s="2"/>
    </row>
    <row r="170" spans="29:29" ht="16" x14ac:dyDescent="0.2">
      <c r="AC170" s="2"/>
    </row>
    <row r="171" spans="29:29" ht="16" x14ac:dyDescent="0.2">
      <c r="AC171" s="2"/>
    </row>
    <row r="172" spans="29:29" ht="16" x14ac:dyDescent="0.2">
      <c r="AC172" s="2"/>
    </row>
    <row r="173" spans="29:29" ht="16" x14ac:dyDescent="0.2">
      <c r="AC173" s="2"/>
    </row>
    <row r="174" spans="29:29" ht="16" x14ac:dyDescent="0.2">
      <c r="AC174" s="2"/>
    </row>
    <row r="175" spans="29:29" ht="16" x14ac:dyDescent="0.2">
      <c r="AC175" s="2"/>
    </row>
    <row r="176" spans="29:29" ht="16" x14ac:dyDescent="0.2">
      <c r="AC176" s="2"/>
    </row>
    <row r="177" spans="29:29" ht="16" x14ac:dyDescent="0.2">
      <c r="AC177" s="2"/>
    </row>
    <row r="178" spans="29:29" ht="16" x14ac:dyDescent="0.2">
      <c r="AC178" s="2"/>
    </row>
    <row r="179" spans="29:29" ht="16" x14ac:dyDescent="0.2">
      <c r="AC179" s="2"/>
    </row>
    <row r="180" spans="29:29" ht="16" x14ac:dyDescent="0.2">
      <c r="AC180" s="2"/>
    </row>
    <row r="181" spans="29:29" ht="16" x14ac:dyDescent="0.2">
      <c r="AC181" s="2"/>
    </row>
    <row r="182" spans="29:29" ht="16" x14ac:dyDescent="0.2">
      <c r="AC182" s="2"/>
    </row>
    <row r="183" spans="29:29" ht="16" x14ac:dyDescent="0.2">
      <c r="AC183" s="2"/>
    </row>
    <row r="184" spans="29:29" ht="16" x14ac:dyDescent="0.2">
      <c r="AC184" s="2"/>
    </row>
    <row r="185" spans="29:29" ht="16" x14ac:dyDescent="0.2">
      <c r="AC185" s="2"/>
    </row>
    <row r="186" spans="29:29" ht="16" x14ac:dyDescent="0.2">
      <c r="AC186" s="2"/>
    </row>
    <row r="187" spans="29:29" ht="16" x14ac:dyDescent="0.2">
      <c r="AC187" s="2"/>
    </row>
    <row r="188" spans="29:29" ht="16" x14ac:dyDescent="0.2">
      <c r="AC188" s="2"/>
    </row>
    <row r="189" spans="29:29" ht="16" x14ac:dyDescent="0.2">
      <c r="AC189" s="2"/>
    </row>
    <row r="190" spans="29:29" ht="16" x14ac:dyDescent="0.2">
      <c r="AC190" s="2"/>
    </row>
    <row r="191" spans="29:29" ht="16" x14ac:dyDescent="0.2">
      <c r="AC191" s="2"/>
    </row>
    <row r="192" spans="29:29" ht="16" x14ac:dyDescent="0.2">
      <c r="AC192" s="2"/>
    </row>
    <row r="193" spans="29:29" ht="16" x14ac:dyDescent="0.2">
      <c r="AC193" s="2"/>
    </row>
    <row r="194" spans="29:29" ht="16" x14ac:dyDescent="0.2">
      <c r="AC194" s="2"/>
    </row>
    <row r="195" spans="29:29" ht="16" x14ac:dyDescent="0.2">
      <c r="AC195" s="2"/>
    </row>
    <row r="196" spans="29:29" ht="16" x14ac:dyDescent="0.2">
      <c r="AC196" s="2"/>
    </row>
    <row r="197" spans="29:29" ht="16" x14ac:dyDescent="0.2">
      <c r="AC197" s="2"/>
    </row>
    <row r="198" spans="29:29" ht="16" x14ac:dyDescent="0.2">
      <c r="AC198" s="2"/>
    </row>
    <row r="199" spans="29:29" ht="16" x14ac:dyDescent="0.2">
      <c r="AC199" s="2"/>
    </row>
    <row r="200" spans="29:29" ht="16" x14ac:dyDescent="0.2">
      <c r="AC200" s="2"/>
    </row>
    <row r="201" spans="29:29" ht="16" x14ac:dyDescent="0.2">
      <c r="AC201" s="2"/>
    </row>
    <row r="202" spans="29:29" ht="16" x14ac:dyDescent="0.2">
      <c r="AC202" s="2"/>
    </row>
    <row r="203" spans="29:29" ht="16" x14ac:dyDescent="0.2">
      <c r="AC203" s="2"/>
    </row>
    <row r="204" spans="29:29" ht="16" x14ac:dyDescent="0.2">
      <c r="AC204" s="2"/>
    </row>
    <row r="205" spans="29:29" ht="16" x14ac:dyDescent="0.2">
      <c r="AC205" s="2"/>
    </row>
    <row r="206" spans="29:29" ht="16" x14ac:dyDescent="0.2">
      <c r="AC206" s="2"/>
    </row>
    <row r="207" spans="29:29" ht="16" x14ac:dyDescent="0.2">
      <c r="AC207" s="2"/>
    </row>
    <row r="208" spans="29:29" ht="16" x14ac:dyDescent="0.2">
      <c r="AC208" s="2"/>
    </row>
    <row r="209" spans="29:29" ht="16" x14ac:dyDescent="0.2">
      <c r="AC209" s="2"/>
    </row>
    <row r="210" spans="29:29" ht="16" x14ac:dyDescent="0.2">
      <c r="AC210" s="2"/>
    </row>
    <row r="211" spans="29:29" ht="16" x14ac:dyDescent="0.2">
      <c r="AC211" s="2"/>
    </row>
    <row r="212" spans="29:29" ht="16" x14ac:dyDescent="0.2">
      <c r="AC212" s="2"/>
    </row>
    <row r="213" spans="29:29" ht="16" x14ac:dyDescent="0.2">
      <c r="AC213" s="2"/>
    </row>
    <row r="214" spans="29:29" ht="16" x14ac:dyDescent="0.2">
      <c r="AC214" s="2"/>
    </row>
    <row r="215" spans="29:29" ht="16" x14ac:dyDescent="0.2">
      <c r="AC215" s="2"/>
    </row>
    <row r="216" spans="29:29" ht="16" x14ac:dyDescent="0.2">
      <c r="AC216" s="2"/>
    </row>
    <row r="217" spans="29:29" ht="16" x14ac:dyDescent="0.2">
      <c r="AC217" s="2"/>
    </row>
    <row r="218" spans="29:29" ht="16" x14ac:dyDescent="0.2">
      <c r="AC218" s="2"/>
    </row>
    <row r="219" spans="29:29" ht="16" x14ac:dyDescent="0.2">
      <c r="AC219" s="2"/>
    </row>
    <row r="220" spans="29:29" ht="16" x14ac:dyDescent="0.2">
      <c r="AC220" s="2"/>
    </row>
    <row r="221" spans="29:29" ht="16" x14ac:dyDescent="0.2">
      <c r="AC221" s="2"/>
    </row>
    <row r="222" spans="29:29" ht="16" x14ac:dyDescent="0.2">
      <c r="AC222" s="2"/>
    </row>
    <row r="223" spans="29:29" ht="16" x14ac:dyDescent="0.2">
      <c r="AC223" s="2"/>
    </row>
    <row r="224" spans="29:29" ht="16" x14ac:dyDescent="0.2">
      <c r="AC224" s="2"/>
    </row>
    <row r="225" spans="29:29" ht="16" x14ac:dyDescent="0.2">
      <c r="AC225" s="2"/>
    </row>
    <row r="226" spans="29:29" ht="16" x14ac:dyDescent="0.2">
      <c r="AC226" s="2"/>
    </row>
    <row r="227" spans="29:29" ht="16" x14ac:dyDescent="0.2">
      <c r="AC227" s="2"/>
    </row>
    <row r="228" spans="29:29" ht="16" x14ac:dyDescent="0.2">
      <c r="AC228" s="2"/>
    </row>
    <row r="229" spans="29:29" ht="16" x14ac:dyDescent="0.2">
      <c r="AC229" s="2"/>
    </row>
    <row r="230" spans="29:29" ht="16" x14ac:dyDescent="0.2">
      <c r="AC230" s="2"/>
    </row>
    <row r="231" spans="29:29" ht="16" x14ac:dyDescent="0.2">
      <c r="AC231" s="2"/>
    </row>
    <row r="232" spans="29:29" ht="16" x14ac:dyDescent="0.2">
      <c r="AC232" s="2"/>
    </row>
    <row r="233" spans="29:29" ht="16" x14ac:dyDescent="0.2">
      <c r="AC233" s="2"/>
    </row>
    <row r="234" spans="29:29" ht="16" x14ac:dyDescent="0.2">
      <c r="AC234" s="2"/>
    </row>
    <row r="235" spans="29:29" ht="16" x14ac:dyDescent="0.2">
      <c r="AC235" s="2"/>
    </row>
    <row r="236" spans="29:29" ht="16" x14ac:dyDescent="0.2">
      <c r="AC236" s="2"/>
    </row>
    <row r="237" spans="29:29" ht="16" x14ac:dyDescent="0.2">
      <c r="AC237" s="2"/>
    </row>
    <row r="238" spans="29:29" ht="16" x14ac:dyDescent="0.2">
      <c r="AC238" s="2"/>
    </row>
    <row r="239" spans="29:29" ht="16" x14ac:dyDescent="0.2">
      <c r="AC239" s="2"/>
    </row>
    <row r="240" spans="29:29" ht="16" x14ac:dyDescent="0.2">
      <c r="AC240" s="2"/>
    </row>
    <row r="241" spans="29:29" ht="16" x14ac:dyDescent="0.2">
      <c r="AC241" s="2"/>
    </row>
    <row r="242" spans="29:29" ht="16" x14ac:dyDescent="0.2">
      <c r="AC242" s="2"/>
    </row>
    <row r="243" spans="29:29" ht="16" x14ac:dyDescent="0.2">
      <c r="AC243" s="2"/>
    </row>
    <row r="244" spans="29:29" ht="16" x14ac:dyDescent="0.2">
      <c r="AC244" s="2"/>
    </row>
    <row r="245" spans="29:29" ht="16" x14ac:dyDescent="0.2">
      <c r="AC245" s="2"/>
    </row>
    <row r="246" spans="29:29" ht="16" x14ac:dyDescent="0.2">
      <c r="AC246" s="2"/>
    </row>
    <row r="247" spans="29:29" ht="16" x14ac:dyDescent="0.2">
      <c r="AC247" s="2"/>
    </row>
    <row r="248" spans="29:29" ht="16" x14ac:dyDescent="0.2">
      <c r="AC248" s="2"/>
    </row>
    <row r="249" spans="29:29" ht="16" x14ac:dyDescent="0.2">
      <c r="AC249" s="2"/>
    </row>
    <row r="250" spans="29:29" ht="16" x14ac:dyDescent="0.2">
      <c r="AC250" s="2"/>
    </row>
    <row r="251" spans="29:29" ht="16" x14ac:dyDescent="0.2">
      <c r="AC251" s="2"/>
    </row>
    <row r="252" spans="29:29" ht="16" x14ac:dyDescent="0.2">
      <c r="AC252" s="2"/>
    </row>
    <row r="253" spans="29:29" ht="16" x14ac:dyDescent="0.2">
      <c r="AC253" s="2"/>
    </row>
    <row r="254" spans="29:29" ht="16" x14ac:dyDescent="0.2">
      <c r="AC254" s="2"/>
    </row>
    <row r="255" spans="29:29" ht="16" x14ac:dyDescent="0.2">
      <c r="AC255" s="2"/>
    </row>
    <row r="256" spans="29:29" ht="16" x14ac:dyDescent="0.2">
      <c r="AC256" s="2"/>
    </row>
    <row r="257" spans="29:29" ht="16" x14ac:dyDescent="0.2">
      <c r="AC257" s="2"/>
    </row>
  </sheetData>
  <mergeCells count="6">
    <mergeCell ref="Y9:Z9"/>
    <mergeCell ref="E9:H9"/>
    <mergeCell ref="I9:L9"/>
    <mergeCell ref="M9:P9"/>
    <mergeCell ref="Q9:T9"/>
    <mergeCell ref="U9:X9"/>
  </mergeCell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F6B81-94B9-C146-8CF5-A46545410DEC}">
  <dimension ref="B2:AR128"/>
  <sheetViews>
    <sheetView topLeftCell="B1" workbookViewId="0">
      <selection activeCell="S12" sqref="S12"/>
    </sheetView>
  </sheetViews>
  <sheetFormatPr baseColWidth="10" defaultRowHeight="15" x14ac:dyDescent="0.2"/>
  <cols>
    <col min="2" max="2" width="34.83203125" bestFit="1" customWidth="1"/>
    <col min="3" max="3" width="8.6640625" bestFit="1" customWidth="1"/>
    <col min="4" max="4" width="11.83203125" bestFit="1" customWidth="1"/>
    <col min="5" max="5" width="10.33203125" bestFit="1" customWidth="1"/>
    <col min="6" max="6" width="12.5" bestFit="1" customWidth="1"/>
    <col min="7" max="7" width="14.5" bestFit="1" customWidth="1"/>
    <col min="8" max="8" width="12.33203125" customWidth="1"/>
    <col min="9" max="9" width="10.33203125" bestFit="1" customWidth="1"/>
    <col min="10" max="10" width="4.6640625" bestFit="1" customWidth="1"/>
    <col min="11" max="11" width="10.1640625" customWidth="1"/>
    <col min="12" max="12" width="8.83203125" customWidth="1"/>
    <col min="13" max="13" width="10.33203125" bestFit="1" customWidth="1"/>
    <col min="14" max="14" width="4.6640625" bestFit="1" customWidth="1"/>
    <col min="15" max="15" width="5.1640625" bestFit="1" customWidth="1"/>
    <col min="16" max="16" width="8.33203125" customWidth="1"/>
    <col min="17" max="17" width="9" bestFit="1" customWidth="1"/>
    <col min="18" max="18" width="4.6640625" bestFit="1" customWidth="1"/>
    <col min="19" max="19" width="10.6640625" bestFit="1" customWidth="1"/>
    <col min="21" max="21" width="7.33203125" bestFit="1" customWidth="1"/>
    <col min="22" max="22" width="4.6640625" bestFit="1" customWidth="1"/>
    <col min="23" max="23" width="5.1640625" bestFit="1" customWidth="1"/>
    <col min="25" max="25" width="7.33203125" bestFit="1" customWidth="1"/>
    <col min="26" max="26" width="4.6640625" bestFit="1" customWidth="1"/>
    <col min="27" max="27" width="4.1640625" bestFit="1" customWidth="1"/>
    <col min="28" max="28" width="4.1640625" customWidth="1"/>
    <col min="29" max="29" width="3.6640625" customWidth="1"/>
    <col min="30" max="30" width="4.6640625" bestFit="1" customWidth="1"/>
    <col min="31" max="31" width="4.1640625" bestFit="1" customWidth="1"/>
    <col min="32" max="32" width="3.33203125" customWidth="1"/>
    <col min="33" max="33" width="4.6640625" customWidth="1"/>
    <col min="34" max="34" width="4.6640625" bestFit="1" customWidth="1"/>
    <col min="35" max="36" width="3.5" customWidth="1"/>
    <col min="37" max="37" width="2.6640625" customWidth="1"/>
    <col min="38" max="38" width="4.83203125" customWidth="1"/>
    <col min="39" max="39" width="4.33203125" customWidth="1"/>
    <col min="40" max="40" width="5.83203125" customWidth="1"/>
    <col min="41" max="41" width="3.6640625" customWidth="1"/>
    <col min="42" max="42" width="4.33203125" customWidth="1"/>
  </cols>
  <sheetData>
    <row r="2" spans="2:44" ht="16" x14ac:dyDescent="0.2">
      <c r="B2" s="11" t="s">
        <v>34</v>
      </c>
      <c r="C2" s="11" t="s">
        <v>312</v>
      </c>
      <c r="D2" s="11" t="s">
        <v>0</v>
      </c>
      <c r="E2" s="11" t="s">
        <v>313</v>
      </c>
      <c r="F2" s="11" t="s">
        <v>4</v>
      </c>
      <c r="G2" s="38"/>
    </row>
    <row r="3" spans="2:44" ht="16" x14ac:dyDescent="0.2">
      <c r="B3" s="10" t="str">
        <f>C10</f>
        <v>ACO 1</v>
      </c>
      <c r="C3" s="4">
        <f>AVERAGEIF(K12:K128, "&lt;&gt;-", C12:C128)</f>
        <v>195.64761904761906</v>
      </c>
      <c r="D3" s="29" t="s">
        <v>235</v>
      </c>
      <c r="E3" s="6">
        <f>AVERAGEIF(K12:K128, "&lt;&gt;-", E12:E128)</f>
        <v>0.23150641877684669</v>
      </c>
      <c r="F3" s="7">
        <f>SUMIF(K12:K128, "&lt;&gt;-", F12:F128)</f>
        <v>11</v>
      </c>
    </row>
    <row r="4" spans="2:44" ht="16" x14ac:dyDescent="0.2">
      <c r="B4" s="10" t="str">
        <f>G10</f>
        <v>ACO 10</v>
      </c>
      <c r="C4" s="4">
        <f>AVERAGEIF(K12:K128, "&lt;&gt;-", G12:G128)</f>
        <v>190.52380952380952</v>
      </c>
      <c r="D4" s="29" t="s">
        <v>235</v>
      </c>
      <c r="E4" s="6">
        <f>AVERAGEIF(K12:K128, "&lt;&gt;-", I12:I128)</f>
        <v>0.20056033716926872</v>
      </c>
      <c r="F4" s="7">
        <f>SUMIF(K12:K128, "&lt;&gt;-", J12:J128)</f>
        <v>14</v>
      </c>
    </row>
    <row r="5" spans="2:44" ht="16" x14ac:dyDescent="0.2">
      <c r="B5" s="10" t="str">
        <f>K10</f>
        <v>ACO 20</v>
      </c>
      <c r="C5" s="4">
        <f>AVERAGEIF(K12:K128, "&lt;&gt;-", K12:K128)</f>
        <v>189.1904761904762</v>
      </c>
      <c r="D5" s="15" t="s">
        <v>235</v>
      </c>
      <c r="E5" s="6">
        <f>AVERAGEIF(K12:K128, "&lt;&gt;-", M12:M128)</f>
        <v>0.19448208467964997</v>
      </c>
      <c r="F5" s="7">
        <f>SUMIF(K12:K128, "&lt;&gt;-", N12:N128)</f>
        <v>19</v>
      </c>
    </row>
    <row r="6" spans="2:44" ht="16" x14ac:dyDescent="0.2">
      <c r="B6" s="10" t="str">
        <f>O10</f>
        <v>ILS 1</v>
      </c>
      <c r="C6" s="4">
        <f>AVERAGEIF(K12:K128, "&lt;&gt;-", O12:O128)</f>
        <v>149.71428571428572</v>
      </c>
      <c r="D6" s="5">
        <f>AVERAGEIF(K12:K128, "&lt;&gt;-", P12:P128)</f>
        <v>4.3964857176744516</v>
      </c>
      <c r="E6" s="6">
        <f>AVERAGEIF(K12:K128, "&lt;&gt;-", Q12:Q128)</f>
        <v>1.0121527136249217E-2</v>
      </c>
      <c r="F6" s="7">
        <f>SUMIF(K12:K128, "&lt;&gt;-", R12:R128)</f>
        <v>62</v>
      </c>
    </row>
    <row r="7" spans="2:44" ht="16" x14ac:dyDescent="0.2">
      <c r="B7" s="10" t="str">
        <f>S10</f>
        <v>ILS 10</v>
      </c>
      <c r="C7" s="4">
        <f>AVERAGEIF(K12:K128, "&lt;&gt;-", S12:S128)</f>
        <v>147.34285714285716</v>
      </c>
      <c r="D7" s="4">
        <f>AVERAGEIF(K12:K128, "&lt;&gt;-", T12:T128)</f>
        <v>43.644485708184185</v>
      </c>
      <c r="E7" s="6">
        <f>AVERAGEIF(K12:K128, "&lt;&gt;-", U12:U128)</f>
        <v>1.0242726522357627E-3</v>
      </c>
      <c r="F7" s="7">
        <f>SUMIF(K12:K128, "&lt;&gt;-", V12:V128)</f>
        <v>96</v>
      </c>
    </row>
    <row r="8" spans="2:44" ht="16" x14ac:dyDescent="0.2">
      <c r="B8" s="10" t="str">
        <f>W10</f>
        <v>ILS 20</v>
      </c>
      <c r="C8" s="4">
        <f>AVERAGEIF(K12:K128, "&lt;&gt;-", W12:W128)</f>
        <v>147.19999999999999</v>
      </c>
      <c r="D8" s="4">
        <f>AVERAGEIF(K12:K128, "&lt;&gt;-", X12:X128)</f>
        <v>85.081971428589895</v>
      </c>
      <c r="E8" s="6">
        <f>AVERAGEIF(K12:K128, "&lt;&gt;-", Y12:Y128)</f>
        <v>0</v>
      </c>
      <c r="F8" s="7">
        <f>SUMIF(K12:K128, "&lt;&gt;-", Z12:Z128)</f>
        <v>105</v>
      </c>
    </row>
    <row r="10" spans="2:44" ht="16" x14ac:dyDescent="0.2">
      <c r="C10" s="41" t="s">
        <v>58</v>
      </c>
      <c r="D10" s="41"/>
      <c r="E10" s="41"/>
      <c r="F10" s="41"/>
      <c r="G10" s="42" t="s">
        <v>59</v>
      </c>
      <c r="H10" s="43"/>
      <c r="I10" s="43"/>
      <c r="J10" s="44"/>
      <c r="K10" s="42" t="s">
        <v>60</v>
      </c>
      <c r="L10" s="43"/>
      <c r="M10" s="43"/>
      <c r="N10" s="44"/>
      <c r="O10" s="42" t="s">
        <v>253</v>
      </c>
      <c r="P10" s="43"/>
      <c r="Q10" s="43"/>
      <c r="R10" s="44"/>
      <c r="S10" s="42" t="s">
        <v>254</v>
      </c>
      <c r="T10" s="43"/>
      <c r="U10" s="43"/>
      <c r="V10" s="44"/>
      <c r="W10" s="41" t="s">
        <v>255</v>
      </c>
      <c r="X10" s="41"/>
      <c r="Y10" s="41"/>
      <c r="Z10" s="45"/>
      <c r="AA10" s="40"/>
      <c r="AB10" s="40"/>
      <c r="AC10" s="40"/>
      <c r="AD10" s="40"/>
      <c r="AE10" s="40"/>
      <c r="AF10" s="40"/>
      <c r="AG10" s="40"/>
      <c r="AH10" s="40"/>
      <c r="AI10" s="40"/>
      <c r="AJ10" s="40"/>
      <c r="AK10" s="40"/>
      <c r="AL10" s="40"/>
      <c r="AM10" s="40"/>
      <c r="AN10" s="40"/>
      <c r="AO10" s="40"/>
      <c r="AP10" s="40"/>
    </row>
    <row r="11" spans="2:44" ht="16" x14ac:dyDescent="0.2">
      <c r="B11" s="1" t="s">
        <v>5</v>
      </c>
      <c r="C11" s="1" t="s">
        <v>1</v>
      </c>
      <c r="D11" s="1" t="s">
        <v>0</v>
      </c>
      <c r="E11" s="1" t="s">
        <v>2</v>
      </c>
      <c r="F11" s="1" t="s">
        <v>3</v>
      </c>
      <c r="G11" s="1" t="s">
        <v>1</v>
      </c>
      <c r="H11" s="1" t="s">
        <v>0</v>
      </c>
      <c r="I11" s="1" t="s">
        <v>2</v>
      </c>
      <c r="J11" s="1" t="s">
        <v>3</v>
      </c>
      <c r="K11" s="1" t="s">
        <v>1</v>
      </c>
      <c r="L11" s="1" t="s">
        <v>0</v>
      </c>
      <c r="M11" s="1" t="s">
        <v>2</v>
      </c>
      <c r="N11" s="1" t="s">
        <v>3</v>
      </c>
      <c r="O11" s="1" t="s">
        <v>1</v>
      </c>
      <c r="P11" s="1" t="s">
        <v>0</v>
      </c>
      <c r="Q11" s="1" t="s">
        <v>2</v>
      </c>
      <c r="R11" s="1" t="s">
        <v>3</v>
      </c>
      <c r="S11" s="1" t="s">
        <v>1</v>
      </c>
      <c r="T11" s="1" t="s">
        <v>0</v>
      </c>
      <c r="U11" s="1" t="s">
        <v>2</v>
      </c>
      <c r="V11" s="1" t="s">
        <v>3</v>
      </c>
      <c r="W11" s="1" t="s">
        <v>1</v>
      </c>
      <c r="X11" s="1" t="s">
        <v>0</v>
      </c>
      <c r="Y11" s="1" t="s">
        <v>2</v>
      </c>
      <c r="Z11" s="1" t="s">
        <v>3</v>
      </c>
      <c r="AA11" s="2"/>
      <c r="AB11" s="2"/>
      <c r="AC11" s="2"/>
      <c r="AD11" s="2"/>
      <c r="AE11" s="2"/>
      <c r="AF11" s="2"/>
      <c r="AG11" s="2"/>
      <c r="AH11" s="2"/>
      <c r="AI11" s="2"/>
      <c r="AJ11" s="2"/>
      <c r="AK11" s="2"/>
      <c r="AL11" s="2"/>
      <c r="AM11" s="2"/>
      <c r="AN11" s="2"/>
      <c r="AO11" s="2"/>
      <c r="AP11" s="2"/>
      <c r="AR11" s="2" t="s">
        <v>4</v>
      </c>
    </row>
    <row r="12" spans="2:44" ht="16" x14ac:dyDescent="0.2">
      <c r="B12" s="18" t="s">
        <v>35</v>
      </c>
      <c r="C12" s="18">
        <v>608</v>
      </c>
      <c r="D12" s="37" t="s">
        <v>235</v>
      </c>
      <c r="E12" s="3">
        <f>(C12-$AR12)/$AR12</f>
        <v>0.14285714285714285</v>
      </c>
      <c r="F12" s="1">
        <f>IF(C12=$AR12,1,0)</f>
        <v>0</v>
      </c>
      <c r="G12" s="18">
        <v>592</v>
      </c>
      <c r="H12" s="37" t="s">
        <v>235</v>
      </c>
      <c r="I12" s="3">
        <f t="shared" ref="I12:I75" si="0">(G12-$AR12)/$AR12</f>
        <v>0.11278195488721804</v>
      </c>
      <c r="J12" s="1">
        <f t="shared" ref="J12:J75" si="1">IF(G12=$AR12,1,0)</f>
        <v>0</v>
      </c>
      <c r="K12" s="18">
        <v>580</v>
      </c>
      <c r="L12" s="37" t="s">
        <v>235</v>
      </c>
      <c r="M12" s="3">
        <f>(K12-$AR12)/$AR12</f>
        <v>9.0225563909774431E-2</v>
      </c>
      <c r="N12" s="1">
        <f>IF(K12=$AR12,1,0)</f>
        <v>0</v>
      </c>
      <c r="O12" s="18">
        <f>'execs Table 7'!C2</f>
        <v>532</v>
      </c>
      <c r="P12" s="18">
        <f>'execs Table 7'!D2</f>
        <v>2.8139998912811279</v>
      </c>
      <c r="Q12" s="3">
        <f>(O12-$AR12)/$AR12</f>
        <v>0</v>
      </c>
      <c r="R12" s="1">
        <f>IF(O12=$AR12,1,0)</f>
        <v>1</v>
      </c>
      <c r="S12" s="18">
        <f>MIN('execs Table 7'!C2,'execs Table 7'!E2,'execs Table 7'!G2,'execs Table 7'!I2,'execs Table 7'!K2,'execs Table 7'!M2,'execs Table 7'!O2,'execs Table 7'!Q2,'execs Table 7'!S2,'execs Table 7'!U2)</f>
        <v>532</v>
      </c>
      <c r="T12" s="18">
        <f>SUM('execs Table 7'!D2,'execs Table 7'!F2,'execs Table 7'!H2,'execs Table 7'!J2,'execs Table 7'!L2,'execs Table 7'!N2,'execs Table 7'!P2,'execs Table 7'!R2,'execs Table 7'!T2,'execs Table 7'!V2)</f>
        <v>17.298999786376953</v>
      </c>
      <c r="U12" s="3">
        <f>(S12-$AR12)/$AR12</f>
        <v>0</v>
      </c>
      <c r="V12" s="1">
        <f>IF(S12=$AR12,1,0)</f>
        <v>1</v>
      </c>
      <c r="W12" s="18">
        <f>MIN('execs Table 7'!G2,'execs Table 7'!I2,'execs Table 7'!K2,'execs Table 7'!M2,'execs Table 7'!O2,'execs Table 7'!Q2,'execs Table 7'!S2,'execs Table 7'!U2,'execs Table 7'!W2,'execs Table 7'!Y2,'execs Table 7'!C2,'execs Table 7'!E2,'execs Table 7'!AA2,'execs Table 7'!AC2,'execs Table 7'!AE2,'execs Table 7'!AG2,'execs Table 7'!AI2,'execs Table 7'!AK2,'execs Table 7'!AM2,'execs Table 7'!AO2)</f>
        <v>532</v>
      </c>
      <c r="X12" s="18">
        <f>SUM('execs Table 7'!H2,'execs Table 7'!J2,'execs Table 7'!L2,'execs Table 7'!N2,'execs Table 7'!P2,'execs Table 7'!R2,'execs Table 7'!T2,'execs Table 7'!V2,'execs Table 7'!X2,'execs Table 7'!Z2,'execs Table 7'!D2,'execs Table 7'!F2,'execs Table 7'!AB2,'execs Table 7'!AD2,'execs Table 7'!AF2,'execs Table 7'!AH2,'execs Table 7'!AJ2,'execs Table 7'!AL2,'execs Table 7'!AN2,'execs Table 7'!AP2)</f>
        <v>36.23199987411499</v>
      </c>
      <c r="Y12" s="3">
        <f>(W12-$AR12)/$AR12</f>
        <v>0</v>
      </c>
      <c r="Z12" s="1">
        <f>IF(W12=$AR12,1,0)</f>
        <v>1</v>
      </c>
      <c r="AG12" s="9"/>
      <c r="AH12" s="2"/>
      <c r="AK12" s="9"/>
      <c r="AL12" s="2"/>
      <c r="AO12" s="9"/>
      <c r="AP12" s="2"/>
      <c r="AR12" s="2">
        <f>MIN(C12,G12,K12,O12,S12,W12,AA12,AE12,AI12,AM12)</f>
        <v>532</v>
      </c>
    </row>
    <row r="13" spans="2:44" ht="16" x14ac:dyDescent="0.2">
      <c r="B13" s="18" t="s">
        <v>134</v>
      </c>
      <c r="C13" s="37" t="s">
        <v>235</v>
      </c>
      <c r="D13" s="37" t="s">
        <v>235</v>
      </c>
      <c r="E13" s="3" t="e">
        <f t="shared" ref="E13:E43" si="2">(C13-$AR13)/$AR13</f>
        <v>#VALUE!</v>
      </c>
      <c r="F13" s="1">
        <f t="shared" ref="F13:F76" si="3">IF(C13=$AR13,1,0)</f>
        <v>0</v>
      </c>
      <c r="G13" s="37" t="s">
        <v>235</v>
      </c>
      <c r="H13" s="37" t="s">
        <v>235</v>
      </c>
      <c r="I13" s="3" t="e">
        <f t="shared" si="0"/>
        <v>#VALUE!</v>
      </c>
      <c r="J13" s="1">
        <f t="shared" si="1"/>
        <v>0</v>
      </c>
      <c r="K13" s="37" t="s">
        <v>235</v>
      </c>
      <c r="L13" s="37" t="s">
        <v>235</v>
      </c>
      <c r="M13" s="3" t="e">
        <f>(K13-$AR13)/$AR13</f>
        <v>#VALUE!</v>
      </c>
      <c r="N13" s="1">
        <f t="shared" ref="N13:N76" si="4">IF(K13=$AR13,1,0)</f>
        <v>0</v>
      </c>
      <c r="O13" s="18">
        <f>'execs Table 7'!C3</f>
        <v>790</v>
      </c>
      <c r="P13" s="18">
        <f>'execs Table 7'!D3</f>
        <v>182.29200744628906</v>
      </c>
      <c r="Q13" s="3">
        <f t="shared" ref="Q13:Q76" si="5">(O13-$AR13)/$AR13</f>
        <v>0</v>
      </c>
      <c r="R13" s="1">
        <f t="shared" ref="R13:R76" si="6">IF(O13=$AR13,1,0)</f>
        <v>1</v>
      </c>
      <c r="S13" s="18">
        <f>MIN('execs Table 7'!C3,'execs Table 7'!E3,'execs Table 7'!G3,'execs Table 7'!I3,'execs Table 7'!K3,'execs Table 7'!M3,'execs Table 7'!O3,'execs Table 7'!Q3,'execs Table 7'!S3,'execs Table 7'!U3)</f>
        <v>790</v>
      </c>
      <c r="T13" s="18">
        <f>SUM('execs Table 7'!D3,'execs Table 7'!F3,'execs Table 7'!H3,'execs Table 7'!J3,'execs Table 7'!L3,'execs Table 7'!N3,'execs Table 7'!P3,'execs Table 7'!R3,'execs Table 7'!T3,'execs Table 7'!V3)</f>
        <v>1825.5630035400391</v>
      </c>
      <c r="U13" s="3">
        <f t="shared" ref="U13:U76" si="7">(S13-$AR13)/$AR13</f>
        <v>0</v>
      </c>
      <c r="V13" s="1">
        <f t="shared" ref="V13:V76" si="8">IF(S13=$AR13,1,0)</f>
        <v>1</v>
      </c>
      <c r="W13" s="18">
        <f>MIN('execs Table 7'!G3,'execs Table 7'!I3,'execs Table 7'!K3,'execs Table 7'!M3,'execs Table 7'!O3,'execs Table 7'!Q3,'execs Table 7'!S3,'execs Table 7'!U3,'execs Table 7'!W3,'execs Table 7'!Y3,'execs Table 7'!C3,'execs Table 7'!E3,'execs Table 7'!AA3,'execs Table 7'!AC3,'execs Table 7'!AE3,'execs Table 7'!AG3,'execs Table 7'!AI3,'execs Table 7'!AK3,'execs Table 7'!AM3,'execs Table 7'!AO3)</f>
        <v>790</v>
      </c>
      <c r="X13" s="18">
        <f>SUM('execs Table 7'!H3,'execs Table 7'!J3,'execs Table 7'!L3,'execs Table 7'!N3,'execs Table 7'!P3,'execs Table 7'!R3,'execs Table 7'!T3,'execs Table 7'!V3,'execs Table 7'!X3,'execs Table 7'!Z3,'execs Table 7'!D3,'execs Table 7'!F3,'execs Table 7'!AB3,'execs Table 7'!AD3,'execs Table 7'!AF3,'execs Table 7'!AH3,'execs Table 7'!AJ3,'execs Table 7'!AL3,'execs Table 7'!AN3,'execs Table 7'!AP3)</f>
        <v>3639.322021484375</v>
      </c>
      <c r="Y13" s="3">
        <f t="shared" ref="Y13:Y37" si="9">(W13-$AR13)/$AR13</f>
        <v>0</v>
      </c>
      <c r="Z13" s="1">
        <f t="shared" ref="Z13:Z37" si="10">IF(W13=$AR13,1,0)</f>
        <v>1</v>
      </c>
      <c r="AB13" s="28"/>
      <c r="AC13" s="28"/>
      <c r="AD13" s="28"/>
      <c r="AG13" s="9"/>
      <c r="AH13" s="2"/>
      <c r="AK13" s="9"/>
      <c r="AL13" s="2"/>
      <c r="AO13" s="9"/>
      <c r="AP13" s="2"/>
      <c r="AR13" s="2">
        <f t="shared" ref="AR13:AR76" si="11">MIN(C13,G13,K13,O13,S13,W13,AA13,AE13,AI13,AM13)</f>
        <v>790</v>
      </c>
    </row>
    <row r="14" spans="2:44" ht="16" x14ac:dyDescent="0.2">
      <c r="B14" s="18" t="s">
        <v>36</v>
      </c>
      <c r="C14" s="18">
        <v>132</v>
      </c>
      <c r="D14" s="37" t="s">
        <v>235</v>
      </c>
      <c r="E14" s="3">
        <f t="shared" si="2"/>
        <v>7.3170731707317069E-2</v>
      </c>
      <c r="F14" s="1">
        <f t="shared" si="3"/>
        <v>0</v>
      </c>
      <c r="G14" s="18">
        <v>131</v>
      </c>
      <c r="H14" s="37" t="s">
        <v>235</v>
      </c>
      <c r="I14" s="3">
        <f t="shared" si="0"/>
        <v>6.5040650406504072E-2</v>
      </c>
      <c r="J14" s="1">
        <f t="shared" si="1"/>
        <v>0</v>
      </c>
      <c r="K14" s="18">
        <v>130</v>
      </c>
      <c r="L14" s="37" t="s">
        <v>235</v>
      </c>
      <c r="M14" s="3">
        <f t="shared" ref="M14:M76" si="12">(K14-$AR14)/$AR14</f>
        <v>5.6910569105691054E-2</v>
      </c>
      <c r="N14" s="1">
        <f t="shared" si="4"/>
        <v>0</v>
      </c>
      <c r="O14" s="18">
        <f>'execs Table 7'!C4</f>
        <v>126</v>
      </c>
      <c r="P14" s="18">
        <f>'execs Table 7'!D4</f>
        <v>0.10499999672174454</v>
      </c>
      <c r="Q14" s="3">
        <f t="shared" si="5"/>
        <v>2.4390243902439025E-2</v>
      </c>
      <c r="R14" s="1">
        <f t="shared" si="6"/>
        <v>0</v>
      </c>
      <c r="S14" s="18">
        <f>MIN('execs Table 7'!C4,'execs Table 7'!E4,'execs Table 7'!G4,'execs Table 7'!I4,'execs Table 7'!K4,'execs Table 7'!M4,'execs Table 7'!O4,'execs Table 7'!Q4,'execs Table 7'!S4,'execs Table 7'!U4)</f>
        <v>124</v>
      </c>
      <c r="T14" s="18">
        <f>SUM('execs Table 7'!D4,'execs Table 7'!F4,'execs Table 7'!H4,'execs Table 7'!J4,'execs Table 7'!L4,'execs Table 7'!N4,'execs Table 7'!P4,'execs Table 7'!R4,'execs Table 7'!T4,'execs Table 7'!V4)</f>
        <v>1.2099999859929085</v>
      </c>
      <c r="U14" s="3">
        <f t="shared" si="7"/>
        <v>8.130081300813009E-3</v>
      </c>
      <c r="V14" s="1">
        <f t="shared" si="8"/>
        <v>0</v>
      </c>
      <c r="W14" s="18">
        <f>MIN('execs Table 7'!G4,'execs Table 7'!I4,'execs Table 7'!K4,'execs Table 7'!M4,'execs Table 7'!O4,'execs Table 7'!Q4,'execs Table 7'!S4,'execs Table 7'!U4,'execs Table 7'!W4,'execs Table 7'!Y4,'execs Table 7'!C4,'execs Table 7'!E4,'execs Table 7'!AA4,'execs Table 7'!AC4,'execs Table 7'!AE4,'execs Table 7'!AG4,'execs Table 7'!AI4,'execs Table 7'!AK4,'execs Table 7'!AM4,'execs Table 7'!AO4)</f>
        <v>123</v>
      </c>
      <c r="X14" s="18">
        <f>SUM('execs Table 7'!H4,'execs Table 7'!J4,'execs Table 7'!L4,'execs Table 7'!N4,'execs Table 7'!P4,'execs Table 7'!R4,'execs Table 7'!T4,'execs Table 7'!V4,'execs Table 7'!X4,'execs Table 7'!Z4,'execs Table 7'!D4,'execs Table 7'!F4,'execs Table 7'!AB4,'execs Table 7'!AD4,'execs Table 7'!AF4,'execs Table 7'!AH4,'execs Table 7'!AJ4,'execs Table 7'!AL4,'execs Table 7'!AN4,'execs Table 7'!AP4)</f>
        <v>2.4949999898672104</v>
      </c>
      <c r="Y14" s="3">
        <f t="shared" si="9"/>
        <v>0</v>
      </c>
      <c r="Z14" s="1">
        <f t="shared" si="10"/>
        <v>1</v>
      </c>
      <c r="AG14" s="9"/>
      <c r="AH14" s="2"/>
      <c r="AK14" s="9"/>
      <c r="AL14" s="2"/>
      <c r="AO14" s="9"/>
      <c r="AP14" s="2"/>
      <c r="AR14" s="2">
        <f t="shared" si="11"/>
        <v>123</v>
      </c>
    </row>
    <row r="15" spans="2:44" ht="16" x14ac:dyDescent="0.2">
      <c r="B15" s="18" t="s">
        <v>37</v>
      </c>
      <c r="C15" s="18">
        <v>134</v>
      </c>
      <c r="D15" s="37" t="s">
        <v>235</v>
      </c>
      <c r="E15" s="3">
        <f t="shared" si="2"/>
        <v>8.943089430894309E-2</v>
      </c>
      <c r="F15" s="1">
        <f t="shared" si="3"/>
        <v>0</v>
      </c>
      <c r="G15" s="18">
        <v>136</v>
      </c>
      <c r="H15" s="37" t="s">
        <v>235</v>
      </c>
      <c r="I15" s="3">
        <f t="shared" si="0"/>
        <v>0.10569105691056911</v>
      </c>
      <c r="J15" s="1">
        <f t="shared" si="1"/>
        <v>0</v>
      </c>
      <c r="K15" s="18">
        <v>132</v>
      </c>
      <c r="L15" s="37" t="s">
        <v>235</v>
      </c>
      <c r="M15" s="3">
        <f t="shared" si="12"/>
        <v>7.3170731707317069E-2</v>
      </c>
      <c r="N15" s="1">
        <f t="shared" si="4"/>
        <v>0</v>
      </c>
      <c r="O15" s="18">
        <f>'execs Table 7'!C5</f>
        <v>123</v>
      </c>
      <c r="P15" s="18">
        <f>'execs Table 7'!D5</f>
        <v>1.4320000410079956</v>
      </c>
      <c r="Q15" s="3">
        <f t="shared" si="5"/>
        <v>0</v>
      </c>
      <c r="R15" s="1">
        <f t="shared" si="6"/>
        <v>1</v>
      </c>
      <c r="S15" s="18">
        <f>MIN('execs Table 7'!C5,'execs Table 7'!E5,'execs Table 7'!G5,'execs Table 7'!I5,'execs Table 7'!K5,'execs Table 7'!M5,'execs Table 7'!O5,'execs Table 7'!Q5,'execs Table 7'!S5,'execs Table 7'!U5)</f>
        <v>123</v>
      </c>
      <c r="T15" s="18">
        <f>SUM('execs Table 7'!D5,'execs Table 7'!F5,'execs Table 7'!H5,'execs Table 7'!J5,'execs Table 7'!L5,'execs Table 7'!N5,'execs Table 7'!P5,'execs Table 7'!R5,'execs Table 7'!T5,'execs Table 7'!V5)</f>
        <v>8.0740000605583191</v>
      </c>
      <c r="U15" s="3">
        <f t="shared" si="7"/>
        <v>0</v>
      </c>
      <c r="V15" s="1">
        <f t="shared" si="8"/>
        <v>1</v>
      </c>
      <c r="W15" s="18">
        <f>MIN('execs Table 7'!G5,'execs Table 7'!I5,'execs Table 7'!K5,'execs Table 7'!M5,'execs Table 7'!O5,'execs Table 7'!Q5,'execs Table 7'!S5,'execs Table 7'!U5,'execs Table 7'!W5,'execs Table 7'!Y5,'execs Table 7'!C5,'execs Table 7'!E5,'execs Table 7'!AA5,'execs Table 7'!AC5,'execs Table 7'!AE5,'execs Table 7'!AG5,'execs Table 7'!AI5,'execs Table 7'!AK5,'execs Table 7'!AM5,'execs Table 7'!AO5)</f>
        <v>123</v>
      </c>
      <c r="X15" s="18">
        <f>SUM('execs Table 7'!H5,'execs Table 7'!J5,'execs Table 7'!L5,'execs Table 7'!N5,'execs Table 7'!P5,'execs Table 7'!R5,'execs Table 7'!T5,'execs Table 7'!V5,'execs Table 7'!X5,'execs Table 7'!Z5,'execs Table 7'!D5,'execs Table 7'!F5,'execs Table 7'!AB5,'execs Table 7'!AD5,'execs Table 7'!AF5,'execs Table 7'!AH5,'execs Table 7'!AJ5,'execs Table 7'!AL5,'execs Table 7'!AN5,'execs Table 7'!AP5)</f>
        <v>15.76500016450882</v>
      </c>
      <c r="Y15" s="3">
        <f t="shared" si="9"/>
        <v>0</v>
      </c>
      <c r="Z15" s="1">
        <f t="shared" si="10"/>
        <v>1</v>
      </c>
      <c r="AG15" s="9"/>
      <c r="AH15" s="2"/>
      <c r="AK15" s="9"/>
      <c r="AL15" s="2"/>
      <c r="AO15" s="9"/>
      <c r="AP15" s="2"/>
      <c r="AR15" s="2">
        <f t="shared" si="11"/>
        <v>123</v>
      </c>
    </row>
    <row r="16" spans="2:44" ht="16" x14ac:dyDescent="0.2">
      <c r="B16" s="18" t="s">
        <v>38</v>
      </c>
      <c r="C16" s="18">
        <v>190</v>
      </c>
      <c r="D16" s="37" t="s">
        <v>235</v>
      </c>
      <c r="E16" s="3">
        <f t="shared" si="2"/>
        <v>0.19496855345911951</v>
      </c>
      <c r="F16" s="1">
        <f t="shared" si="3"/>
        <v>0</v>
      </c>
      <c r="G16" s="18">
        <v>188</v>
      </c>
      <c r="H16" s="37" t="s">
        <v>235</v>
      </c>
      <c r="I16" s="3">
        <f t="shared" si="0"/>
        <v>0.18238993710691823</v>
      </c>
      <c r="J16" s="1">
        <f t="shared" si="1"/>
        <v>0</v>
      </c>
      <c r="K16" s="18">
        <v>188</v>
      </c>
      <c r="L16" s="37" t="s">
        <v>235</v>
      </c>
      <c r="M16" s="3">
        <f t="shared" si="12"/>
        <v>0.18238993710691823</v>
      </c>
      <c r="N16" s="1">
        <f t="shared" si="4"/>
        <v>0</v>
      </c>
      <c r="O16" s="18">
        <f>'execs Table 7'!C6</f>
        <v>161</v>
      </c>
      <c r="P16" s="18">
        <f>'execs Table 7'!D6</f>
        <v>0.22100000083446503</v>
      </c>
      <c r="Q16" s="3">
        <f t="shared" si="5"/>
        <v>1.2578616352201259E-2</v>
      </c>
      <c r="R16" s="1">
        <f t="shared" si="6"/>
        <v>0</v>
      </c>
      <c r="S16" s="18">
        <f>MIN('execs Table 7'!C6,'execs Table 7'!E6,'execs Table 7'!G6,'execs Table 7'!I6,'execs Table 7'!K6,'execs Table 7'!M6,'execs Table 7'!O6,'execs Table 7'!Q6,'execs Table 7'!S6,'execs Table 7'!U6)</f>
        <v>160</v>
      </c>
      <c r="T16" s="18">
        <f>SUM('execs Table 7'!D6,'execs Table 7'!F6,'execs Table 7'!H6,'execs Table 7'!J6,'execs Table 7'!L6,'execs Table 7'!N6,'execs Table 7'!P6,'execs Table 7'!R6,'execs Table 7'!T6,'execs Table 7'!V6)</f>
        <v>2.5919999778270721</v>
      </c>
      <c r="U16" s="3">
        <f t="shared" si="7"/>
        <v>6.2893081761006293E-3</v>
      </c>
      <c r="V16" s="1">
        <f t="shared" si="8"/>
        <v>0</v>
      </c>
      <c r="W16" s="18">
        <f>MIN('execs Table 7'!G6,'execs Table 7'!I6,'execs Table 7'!K6,'execs Table 7'!M6,'execs Table 7'!O6,'execs Table 7'!Q6,'execs Table 7'!S6,'execs Table 7'!U6,'execs Table 7'!W6,'execs Table 7'!Y6,'execs Table 7'!C6,'execs Table 7'!E6,'execs Table 7'!AA6,'execs Table 7'!AC6,'execs Table 7'!AE6,'execs Table 7'!AG6,'execs Table 7'!AI6,'execs Table 7'!AK6,'execs Table 7'!AM6,'execs Table 7'!AO6)</f>
        <v>159</v>
      </c>
      <c r="X16" s="18">
        <f>SUM('execs Table 7'!H6,'execs Table 7'!J6,'execs Table 7'!L6,'execs Table 7'!N6,'execs Table 7'!P6,'execs Table 7'!R6,'execs Table 7'!T6,'execs Table 7'!V6,'execs Table 7'!X6,'execs Table 7'!Z6,'execs Table 7'!D6,'execs Table 7'!F6,'execs Table 7'!AB6,'execs Table 7'!AD6,'execs Table 7'!AF6,'execs Table 7'!AH6,'execs Table 7'!AJ6,'execs Table 7'!AL6,'execs Table 7'!AN6,'execs Table 7'!AP6)</f>
        <v>5.3449999839067459</v>
      </c>
      <c r="Y16" s="3">
        <f t="shared" si="9"/>
        <v>0</v>
      </c>
      <c r="Z16" s="1">
        <f t="shared" si="10"/>
        <v>1</v>
      </c>
      <c r="AG16" s="9"/>
      <c r="AH16" s="2"/>
      <c r="AK16" s="9"/>
      <c r="AL16" s="2"/>
      <c r="AO16" s="9"/>
      <c r="AP16" s="2"/>
      <c r="AR16" s="2">
        <f t="shared" si="11"/>
        <v>159</v>
      </c>
    </row>
    <row r="17" spans="2:44" ht="16" x14ac:dyDescent="0.2">
      <c r="B17" s="18" t="s">
        <v>39</v>
      </c>
      <c r="C17" s="18">
        <v>334</v>
      </c>
      <c r="D17" s="37" t="s">
        <v>235</v>
      </c>
      <c r="E17" s="3">
        <f t="shared" si="2"/>
        <v>0.18021201413427562</v>
      </c>
      <c r="F17" s="1">
        <f t="shared" si="3"/>
        <v>0</v>
      </c>
      <c r="G17" s="18">
        <v>332</v>
      </c>
      <c r="H17" s="37" t="s">
        <v>235</v>
      </c>
      <c r="I17" s="3">
        <f t="shared" si="0"/>
        <v>0.17314487632508835</v>
      </c>
      <c r="J17" s="1">
        <f t="shared" si="1"/>
        <v>0</v>
      </c>
      <c r="K17" s="18">
        <v>328</v>
      </c>
      <c r="L17" s="37" t="s">
        <v>235</v>
      </c>
      <c r="M17" s="3">
        <f t="shared" si="12"/>
        <v>0.15901060070671377</v>
      </c>
      <c r="N17" s="1">
        <f t="shared" si="4"/>
        <v>0</v>
      </c>
      <c r="O17" s="18">
        <f>'execs Table 7'!C7</f>
        <v>283</v>
      </c>
      <c r="P17" s="18">
        <f>'execs Table 7'!D7</f>
        <v>1.3609999418258667</v>
      </c>
      <c r="Q17" s="3">
        <f t="shared" si="5"/>
        <v>0</v>
      </c>
      <c r="R17" s="1">
        <f t="shared" si="6"/>
        <v>1</v>
      </c>
      <c r="S17" s="18">
        <f>MIN('execs Table 7'!C7,'execs Table 7'!E7,'execs Table 7'!G7,'execs Table 7'!I7,'execs Table 7'!K7,'execs Table 7'!M7,'execs Table 7'!O7,'execs Table 7'!Q7,'execs Table 7'!S7,'execs Table 7'!U7)</f>
        <v>283</v>
      </c>
      <c r="T17" s="18">
        <f>SUM('execs Table 7'!D7,'execs Table 7'!F7,'execs Table 7'!H7,'execs Table 7'!J7,'execs Table 7'!L7,'execs Table 7'!N7,'execs Table 7'!P7,'execs Table 7'!R7,'execs Table 7'!T7,'execs Table 7'!V7)</f>
        <v>15.314000010490417</v>
      </c>
      <c r="U17" s="3">
        <f t="shared" si="7"/>
        <v>0</v>
      </c>
      <c r="V17" s="1">
        <f t="shared" si="8"/>
        <v>1</v>
      </c>
      <c r="W17" s="18">
        <f>MIN('execs Table 7'!G7,'execs Table 7'!I7,'execs Table 7'!K7,'execs Table 7'!M7,'execs Table 7'!O7,'execs Table 7'!Q7,'execs Table 7'!S7,'execs Table 7'!U7,'execs Table 7'!W7,'execs Table 7'!Y7,'execs Table 7'!C7,'execs Table 7'!E7,'execs Table 7'!AA7,'execs Table 7'!AC7,'execs Table 7'!AE7,'execs Table 7'!AG7,'execs Table 7'!AI7,'execs Table 7'!AK7,'execs Table 7'!AM7,'execs Table 7'!AO7)</f>
        <v>283</v>
      </c>
      <c r="X17" s="18">
        <f>SUM('execs Table 7'!H7,'execs Table 7'!J7,'execs Table 7'!L7,'execs Table 7'!N7,'execs Table 7'!P7,'execs Table 7'!R7,'execs Table 7'!T7,'execs Table 7'!V7,'execs Table 7'!X7,'execs Table 7'!Z7,'execs Table 7'!D7,'execs Table 7'!F7,'execs Table 7'!AB7,'execs Table 7'!AD7,'execs Table 7'!AF7,'execs Table 7'!AH7,'execs Table 7'!AJ7,'execs Table 7'!AL7,'execs Table 7'!AN7,'execs Table 7'!AP7)</f>
        <v>33.580999910831451</v>
      </c>
      <c r="Y17" s="3">
        <f t="shared" si="9"/>
        <v>0</v>
      </c>
      <c r="Z17" s="1">
        <f t="shared" si="10"/>
        <v>1</v>
      </c>
      <c r="AG17" s="9"/>
      <c r="AH17" s="2"/>
      <c r="AK17" s="9"/>
      <c r="AL17" s="2"/>
      <c r="AO17" s="9"/>
      <c r="AP17" s="2"/>
      <c r="AR17" s="2">
        <f t="shared" si="11"/>
        <v>283</v>
      </c>
    </row>
    <row r="18" spans="2:44" ht="16" x14ac:dyDescent="0.2">
      <c r="B18" s="18" t="s">
        <v>40</v>
      </c>
      <c r="C18" s="18">
        <v>47</v>
      </c>
      <c r="D18" s="37" t="s">
        <v>235</v>
      </c>
      <c r="E18" s="3">
        <f t="shared" si="2"/>
        <v>6.8181818181818177E-2</v>
      </c>
      <c r="F18" s="1">
        <f t="shared" si="3"/>
        <v>0</v>
      </c>
      <c r="G18" s="18">
        <v>47</v>
      </c>
      <c r="H18" s="37" t="s">
        <v>235</v>
      </c>
      <c r="I18" s="3">
        <f t="shared" si="0"/>
        <v>6.8181818181818177E-2</v>
      </c>
      <c r="J18" s="1">
        <f t="shared" si="1"/>
        <v>0</v>
      </c>
      <c r="K18" s="18">
        <v>47</v>
      </c>
      <c r="L18" s="37" t="s">
        <v>235</v>
      </c>
      <c r="M18" s="3">
        <f t="shared" si="12"/>
        <v>6.8181818181818177E-2</v>
      </c>
      <c r="N18" s="1">
        <f t="shared" si="4"/>
        <v>0</v>
      </c>
      <c r="O18" s="18">
        <f>'execs Table 7'!C8</f>
        <v>45</v>
      </c>
      <c r="P18" s="18">
        <f>'execs Table 7'!D8</f>
        <v>2.9999999329447746E-2</v>
      </c>
      <c r="Q18" s="3">
        <f t="shared" si="5"/>
        <v>2.2727272727272728E-2</v>
      </c>
      <c r="R18" s="1">
        <f t="shared" si="6"/>
        <v>0</v>
      </c>
      <c r="S18" s="18">
        <f>MIN('execs Table 7'!C8,'execs Table 7'!E8,'execs Table 7'!G8,'execs Table 7'!I8,'execs Table 7'!K8,'execs Table 7'!M8,'execs Table 7'!O8,'execs Table 7'!Q8,'execs Table 7'!S8,'execs Table 7'!U8)</f>
        <v>45</v>
      </c>
      <c r="T18" s="18">
        <f>SUM('execs Table 7'!D8,'execs Table 7'!F8,'execs Table 7'!H8,'execs Table 7'!J8,'execs Table 7'!L8,'execs Table 7'!N8,'execs Table 7'!P8,'execs Table 7'!R8,'execs Table 7'!T8,'execs Table 7'!V8)</f>
        <v>0.29299999959766865</v>
      </c>
      <c r="U18" s="3">
        <f t="shared" si="7"/>
        <v>2.2727272727272728E-2</v>
      </c>
      <c r="V18" s="1">
        <f t="shared" si="8"/>
        <v>0</v>
      </c>
      <c r="W18" s="18">
        <f>MIN('execs Table 7'!G8,'execs Table 7'!I8,'execs Table 7'!K8,'execs Table 7'!M8,'execs Table 7'!O8,'execs Table 7'!Q8,'execs Table 7'!S8,'execs Table 7'!U8,'execs Table 7'!W8,'execs Table 7'!Y8,'execs Table 7'!C8,'execs Table 7'!E8,'execs Table 7'!AA8,'execs Table 7'!AC8,'execs Table 7'!AE8,'execs Table 7'!AG8,'execs Table 7'!AI8,'execs Table 7'!AK8,'execs Table 7'!AM8,'execs Table 7'!AO8)</f>
        <v>44</v>
      </c>
      <c r="X18" s="18">
        <f>SUM('execs Table 7'!H8,'execs Table 7'!J8,'execs Table 7'!L8,'execs Table 7'!N8,'execs Table 7'!P8,'execs Table 7'!R8,'execs Table 7'!T8,'execs Table 7'!V8,'execs Table 7'!X8,'execs Table 7'!Z8,'execs Table 7'!D8,'execs Table 7'!F8,'execs Table 7'!AB8,'execs Table 7'!AD8,'execs Table 7'!AF8,'execs Table 7'!AH8,'execs Table 7'!AJ8,'execs Table 7'!AL8,'execs Table 7'!AN8,'execs Table 7'!AP8)</f>
        <v>0.57599999941885471</v>
      </c>
      <c r="Y18" s="3">
        <f t="shared" si="9"/>
        <v>0</v>
      </c>
      <c r="Z18" s="1">
        <f t="shared" si="10"/>
        <v>1</v>
      </c>
      <c r="AG18" s="9"/>
      <c r="AH18" s="2"/>
      <c r="AK18" s="9"/>
      <c r="AL18" s="2"/>
      <c r="AO18" s="9"/>
      <c r="AP18" s="2"/>
      <c r="AR18" s="2">
        <f t="shared" si="11"/>
        <v>44</v>
      </c>
    </row>
    <row r="19" spans="2:44" ht="16" x14ac:dyDescent="0.2">
      <c r="B19" s="18" t="s">
        <v>41</v>
      </c>
      <c r="C19" s="18">
        <v>517</v>
      </c>
      <c r="D19" s="37" t="s">
        <v>235</v>
      </c>
      <c r="E19" s="3">
        <f t="shared" si="2"/>
        <v>0.20232558139534884</v>
      </c>
      <c r="F19" s="1">
        <f t="shared" si="3"/>
        <v>0</v>
      </c>
      <c r="G19" s="18">
        <v>516</v>
      </c>
      <c r="H19" s="37" t="s">
        <v>235</v>
      </c>
      <c r="I19" s="3">
        <f t="shared" si="0"/>
        <v>0.2</v>
      </c>
      <c r="J19" s="1">
        <f t="shared" si="1"/>
        <v>0</v>
      </c>
      <c r="K19" s="18">
        <v>515</v>
      </c>
      <c r="L19" s="37" t="s">
        <v>235</v>
      </c>
      <c r="M19" s="3">
        <f t="shared" si="12"/>
        <v>0.19767441860465115</v>
      </c>
      <c r="N19" s="1">
        <f t="shared" si="4"/>
        <v>0</v>
      </c>
      <c r="O19" s="18">
        <f>'execs Table 7'!C9</f>
        <v>431</v>
      </c>
      <c r="P19" s="18">
        <f>'execs Table 7'!D9</f>
        <v>3.6389999389648438</v>
      </c>
      <c r="Q19" s="3">
        <f t="shared" si="5"/>
        <v>2.3255813953488372E-3</v>
      </c>
      <c r="R19" s="1">
        <f t="shared" si="6"/>
        <v>0</v>
      </c>
      <c r="S19" s="18">
        <f>MIN('execs Table 7'!C9,'execs Table 7'!E9,'execs Table 7'!G9,'execs Table 7'!I9,'execs Table 7'!K9,'execs Table 7'!M9,'execs Table 7'!O9,'execs Table 7'!Q9,'execs Table 7'!S9,'execs Table 7'!U9)</f>
        <v>430</v>
      </c>
      <c r="T19" s="18">
        <f>SUM('execs Table 7'!D9,'execs Table 7'!F9,'execs Table 7'!H9,'execs Table 7'!J9,'execs Table 7'!L9,'execs Table 7'!N9,'execs Table 7'!P9,'execs Table 7'!R9,'execs Table 7'!T9,'execs Table 7'!V9)</f>
        <v>32.823000192642212</v>
      </c>
      <c r="U19" s="3">
        <f t="shared" si="7"/>
        <v>0</v>
      </c>
      <c r="V19" s="1">
        <f t="shared" si="8"/>
        <v>1</v>
      </c>
      <c r="W19" s="18">
        <f>MIN('execs Table 7'!G9,'execs Table 7'!I9,'execs Table 7'!K9,'execs Table 7'!M9,'execs Table 7'!O9,'execs Table 7'!Q9,'execs Table 7'!S9,'execs Table 7'!U9,'execs Table 7'!W9,'execs Table 7'!Y9,'execs Table 7'!C9,'execs Table 7'!E9,'execs Table 7'!AA9,'execs Table 7'!AC9,'execs Table 7'!AE9,'execs Table 7'!AG9,'execs Table 7'!AI9,'execs Table 7'!AK9,'execs Table 7'!AM9,'execs Table 7'!AO9)</f>
        <v>430</v>
      </c>
      <c r="X19" s="18">
        <f>SUM('execs Table 7'!H9,'execs Table 7'!J9,'execs Table 7'!L9,'execs Table 7'!N9,'execs Table 7'!P9,'execs Table 7'!R9,'execs Table 7'!T9,'execs Table 7'!V9,'execs Table 7'!X9,'execs Table 7'!Z9,'execs Table 7'!D9,'execs Table 7'!F9,'execs Table 7'!AB9,'execs Table 7'!AD9,'execs Table 7'!AF9,'execs Table 7'!AH9,'execs Table 7'!AJ9,'execs Table 7'!AL9,'execs Table 7'!AN9,'execs Table 7'!AP9)</f>
        <v>66.865000009536743</v>
      </c>
      <c r="Y19" s="3">
        <f t="shared" si="9"/>
        <v>0</v>
      </c>
      <c r="Z19" s="1">
        <f t="shared" si="10"/>
        <v>1</v>
      </c>
      <c r="AG19" s="9"/>
      <c r="AH19" s="2"/>
      <c r="AK19" s="9"/>
      <c r="AL19" s="2"/>
      <c r="AO19" s="9"/>
      <c r="AP19" s="2"/>
      <c r="AR19" s="2">
        <f t="shared" si="11"/>
        <v>430</v>
      </c>
    </row>
    <row r="20" spans="2:44" ht="16" x14ac:dyDescent="0.2">
      <c r="B20" s="18" t="s">
        <v>42</v>
      </c>
      <c r="C20" s="18">
        <v>39</v>
      </c>
      <c r="D20" s="37" t="s">
        <v>235</v>
      </c>
      <c r="E20" s="3">
        <f t="shared" si="2"/>
        <v>8.3333333333333329E-2</v>
      </c>
      <c r="F20" s="1">
        <f t="shared" si="3"/>
        <v>0</v>
      </c>
      <c r="G20" s="18">
        <v>37</v>
      </c>
      <c r="H20" s="37" t="s">
        <v>235</v>
      </c>
      <c r="I20" s="3">
        <f t="shared" si="0"/>
        <v>2.7777777777777776E-2</v>
      </c>
      <c r="J20" s="1">
        <f t="shared" si="1"/>
        <v>0</v>
      </c>
      <c r="K20" s="18">
        <v>36</v>
      </c>
      <c r="L20" s="37" t="s">
        <v>235</v>
      </c>
      <c r="M20" s="3">
        <f t="shared" si="12"/>
        <v>0</v>
      </c>
      <c r="N20" s="1">
        <f t="shared" si="4"/>
        <v>1</v>
      </c>
      <c r="O20" s="18">
        <f>'execs Table 7'!C10</f>
        <v>36</v>
      </c>
      <c r="P20" s="18">
        <f>'execs Table 7'!D10</f>
        <v>2.0000000949949026E-3</v>
      </c>
      <c r="Q20" s="3">
        <f t="shared" si="5"/>
        <v>0</v>
      </c>
      <c r="R20" s="1">
        <f t="shared" si="6"/>
        <v>1</v>
      </c>
      <c r="S20" s="18">
        <f>MIN('execs Table 7'!C10,'execs Table 7'!E10,'execs Table 7'!G10,'execs Table 7'!I10,'execs Table 7'!K10,'execs Table 7'!M10,'execs Table 7'!O10,'execs Table 7'!Q10,'execs Table 7'!S10,'execs Table 7'!U10)</f>
        <v>36</v>
      </c>
      <c r="T20" s="18">
        <f>SUM('execs Table 7'!D10,'execs Table 7'!F10,'execs Table 7'!H10,'execs Table 7'!J10,'execs Table 7'!L10,'execs Table 7'!N10,'execs Table 7'!P10,'execs Table 7'!R10,'execs Table 7'!T10,'execs Table 7'!V10)</f>
        <v>2.8000001097097993E-2</v>
      </c>
      <c r="U20" s="3">
        <f t="shared" si="7"/>
        <v>0</v>
      </c>
      <c r="V20" s="1">
        <f t="shared" si="8"/>
        <v>1</v>
      </c>
      <c r="W20" s="18">
        <f>MIN('execs Table 7'!G10,'execs Table 7'!I10,'execs Table 7'!K10,'execs Table 7'!M10,'execs Table 7'!O10,'execs Table 7'!Q10,'execs Table 7'!S10,'execs Table 7'!U10,'execs Table 7'!W10,'execs Table 7'!Y10,'execs Table 7'!C10,'execs Table 7'!E10,'execs Table 7'!AA10,'execs Table 7'!AC10,'execs Table 7'!AE10,'execs Table 7'!AG10,'execs Table 7'!AI10,'execs Table 7'!AK10,'execs Table 7'!AM10,'execs Table 7'!AO10)</f>
        <v>36</v>
      </c>
      <c r="X20" s="18">
        <f>SUM('execs Table 7'!H10,'execs Table 7'!J10,'execs Table 7'!L10,'execs Table 7'!N10,'execs Table 7'!P10,'execs Table 7'!R10,'execs Table 7'!T10,'execs Table 7'!V10,'execs Table 7'!X10,'execs Table 7'!Z10,'execs Table 7'!D10,'execs Table 7'!F10,'execs Table 7'!AB10,'execs Table 7'!AD10,'execs Table 7'!AF10,'execs Table 7'!AH10,'execs Table 7'!AJ10,'execs Table 7'!AL10,'execs Table 7'!AN10,'execs Table 7'!AP10)</f>
        <v>5.300000193528831E-2</v>
      </c>
      <c r="Y20" s="3">
        <f t="shared" si="9"/>
        <v>0</v>
      </c>
      <c r="Z20" s="1">
        <f t="shared" si="10"/>
        <v>1</v>
      </c>
      <c r="AG20" s="9"/>
      <c r="AH20" s="2"/>
      <c r="AK20" s="9"/>
      <c r="AL20" s="2"/>
      <c r="AO20" s="9"/>
      <c r="AP20" s="2"/>
      <c r="AR20" s="2">
        <f t="shared" si="11"/>
        <v>36</v>
      </c>
    </row>
    <row r="21" spans="2:44" ht="16" x14ac:dyDescent="0.2">
      <c r="B21" s="18" t="s">
        <v>43</v>
      </c>
      <c r="C21" s="18">
        <v>43</v>
      </c>
      <c r="D21" s="37" t="s">
        <v>235</v>
      </c>
      <c r="E21" s="3">
        <f t="shared" si="2"/>
        <v>2.3809523809523808E-2</v>
      </c>
      <c r="F21" s="1">
        <f t="shared" si="3"/>
        <v>0</v>
      </c>
      <c r="G21" s="18">
        <v>43</v>
      </c>
      <c r="H21" s="37" t="s">
        <v>235</v>
      </c>
      <c r="I21" s="3">
        <f t="shared" si="0"/>
        <v>2.3809523809523808E-2</v>
      </c>
      <c r="J21" s="1">
        <f t="shared" si="1"/>
        <v>0</v>
      </c>
      <c r="K21" s="18">
        <v>43</v>
      </c>
      <c r="L21" s="37" t="s">
        <v>235</v>
      </c>
      <c r="M21" s="3">
        <f t="shared" si="12"/>
        <v>2.3809523809523808E-2</v>
      </c>
      <c r="N21" s="1">
        <f t="shared" si="4"/>
        <v>0</v>
      </c>
      <c r="O21" s="18">
        <f>'execs Table 7'!C11</f>
        <v>42</v>
      </c>
      <c r="P21" s="18">
        <f>'execs Table 7'!D11</f>
        <v>3.0000000260770321E-3</v>
      </c>
      <c r="Q21" s="3">
        <f t="shared" si="5"/>
        <v>0</v>
      </c>
      <c r="R21" s="1">
        <f t="shared" si="6"/>
        <v>1</v>
      </c>
      <c r="S21" s="18">
        <f>MIN('execs Table 7'!C11,'execs Table 7'!E11,'execs Table 7'!G11,'execs Table 7'!I11,'execs Table 7'!K11,'execs Table 7'!M11,'execs Table 7'!O11,'execs Table 7'!Q11,'execs Table 7'!S11,'execs Table 7'!U11)</f>
        <v>42</v>
      </c>
      <c r="T21" s="18">
        <f>SUM('execs Table 7'!D11,'execs Table 7'!F11,'execs Table 7'!H11,'execs Table 7'!J11,'execs Table 7'!L11,'execs Table 7'!N11,'execs Table 7'!P11,'execs Table 7'!R11,'execs Table 7'!T11,'execs Table 7'!V11)</f>
        <v>3.0000000260770321E-2</v>
      </c>
      <c r="U21" s="3">
        <f t="shared" si="7"/>
        <v>0</v>
      </c>
      <c r="V21" s="1">
        <f t="shared" si="8"/>
        <v>1</v>
      </c>
      <c r="W21" s="18">
        <f>MIN('execs Table 7'!G11,'execs Table 7'!I11,'execs Table 7'!K11,'execs Table 7'!M11,'execs Table 7'!O11,'execs Table 7'!Q11,'execs Table 7'!S11,'execs Table 7'!U11,'execs Table 7'!W11,'execs Table 7'!Y11,'execs Table 7'!C11,'execs Table 7'!E11,'execs Table 7'!AA11,'execs Table 7'!AC11,'execs Table 7'!AE11,'execs Table 7'!AG11,'execs Table 7'!AI11,'execs Table 7'!AK11,'execs Table 7'!AM11,'execs Table 7'!AO11)</f>
        <v>42</v>
      </c>
      <c r="X21" s="18">
        <f>SUM('execs Table 7'!H11,'execs Table 7'!J11,'execs Table 7'!L11,'execs Table 7'!N11,'execs Table 7'!P11,'execs Table 7'!R11,'execs Table 7'!T11,'execs Table 7'!V11,'execs Table 7'!X11,'execs Table 7'!Z11,'execs Table 7'!D11,'execs Table 7'!F11,'execs Table 7'!AB11,'execs Table 7'!AD11,'execs Table 7'!AF11,'execs Table 7'!AH11,'execs Table 7'!AJ11,'execs Table 7'!AL11,'execs Table 7'!AN11,'execs Table 7'!AP11)</f>
        <v>5.9000000590458512E-2</v>
      </c>
      <c r="Y21" s="3">
        <f t="shared" si="9"/>
        <v>0</v>
      </c>
      <c r="Z21" s="1">
        <f t="shared" si="10"/>
        <v>1</v>
      </c>
      <c r="AG21" s="9"/>
      <c r="AH21" s="2"/>
      <c r="AK21" s="9"/>
      <c r="AL21" s="2"/>
      <c r="AO21" s="9"/>
      <c r="AP21" s="2"/>
      <c r="AR21" s="2">
        <f t="shared" si="11"/>
        <v>42</v>
      </c>
    </row>
    <row r="22" spans="2:44" ht="16" x14ac:dyDescent="0.2">
      <c r="B22" s="18" t="s">
        <v>44</v>
      </c>
      <c r="C22" s="18">
        <v>101</v>
      </c>
      <c r="D22" s="37" t="s">
        <v>235</v>
      </c>
      <c r="E22" s="3">
        <f t="shared" si="2"/>
        <v>0.10989010989010989</v>
      </c>
      <c r="F22" s="1">
        <f t="shared" si="3"/>
        <v>0</v>
      </c>
      <c r="G22" s="18">
        <v>96</v>
      </c>
      <c r="H22" s="37" t="s">
        <v>235</v>
      </c>
      <c r="I22" s="3">
        <f t="shared" si="0"/>
        <v>5.4945054945054944E-2</v>
      </c>
      <c r="J22" s="1">
        <f t="shared" si="1"/>
        <v>0</v>
      </c>
      <c r="K22" s="18">
        <v>97</v>
      </c>
      <c r="L22" s="37" t="s">
        <v>235</v>
      </c>
      <c r="M22" s="3">
        <f t="shared" si="12"/>
        <v>6.5934065934065936E-2</v>
      </c>
      <c r="N22" s="1">
        <f t="shared" si="4"/>
        <v>0</v>
      </c>
      <c r="O22" s="18">
        <f>'execs Table 7'!C12</f>
        <v>91</v>
      </c>
      <c r="P22" s="18">
        <f>'execs Table 7'!D12</f>
        <v>2.500000037252903E-2</v>
      </c>
      <c r="Q22" s="3">
        <f t="shared" si="5"/>
        <v>0</v>
      </c>
      <c r="R22" s="1">
        <f t="shared" si="6"/>
        <v>1</v>
      </c>
      <c r="S22" s="18">
        <f>MIN('execs Table 7'!C12,'execs Table 7'!E12,'execs Table 7'!G12,'execs Table 7'!I12,'execs Table 7'!K12,'execs Table 7'!M12,'execs Table 7'!O12,'execs Table 7'!Q12,'execs Table 7'!S12,'execs Table 7'!U12)</f>
        <v>91</v>
      </c>
      <c r="T22" s="18">
        <f>SUM('execs Table 7'!D12,'execs Table 7'!F12,'execs Table 7'!H12,'execs Table 7'!J12,'execs Table 7'!L12,'execs Table 7'!N12,'execs Table 7'!P12,'execs Table 7'!R12,'execs Table 7'!T12,'execs Table 7'!V12)</f>
        <v>0.26400000229477882</v>
      </c>
      <c r="U22" s="3">
        <f t="shared" si="7"/>
        <v>0</v>
      </c>
      <c r="V22" s="1">
        <f t="shared" si="8"/>
        <v>1</v>
      </c>
      <c r="W22" s="18">
        <f>MIN('execs Table 7'!G12,'execs Table 7'!I12,'execs Table 7'!K12,'execs Table 7'!M12,'execs Table 7'!O12,'execs Table 7'!Q12,'execs Table 7'!S12,'execs Table 7'!U12,'execs Table 7'!W12,'execs Table 7'!Y12,'execs Table 7'!C12,'execs Table 7'!E12,'execs Table 7'!AA12,'execs Table 7'!AC12,'execs Table 7'!AE12,'execs Table 7'!AG12,'execs Table 7'!AI12,'execs Table 7'!AK12,'execs Table 7'!AM12,'execs Table 7'!AO12)</f>
        <v>91</v>
      </c>
      <c r="X22" s="18">
        <f>SUM('execs Table 7'!H12,'execs Table 7'!J12,'execs Table 7'!L12,'execs Table 7'!N12,'execs Table 7'!P12,'execs Table 7'!R12,'execs Table 7'!T12,'execs Table 7'!V12,'execs Table 7'!X12,'execs Table 7'!Z12,'execs Table 7'!D12,'execs Table 7'!F12,'execs Table 7'!AB12,'execs Table 7'!AD12,'execs Table 7'!AF12,'execs Table 7'!AH12,'execs Table 7'!AJ12,'execs Table 7'!AL12,'execs Table 7'!AN12,'execs Table 7'!AP12)</f>
        <v>0.53400000371038914</v>
      </c>
      <c r="Y22" s="3">
        <f t="shared" si="9"/>
        <v>0</v>
      </c>
      <c r="Z22" s="1">
        <f t="shared" si="10"/>
        <v>1</v>
      </c>
      <c r="AG22" s="9"/>
      <c r="AH22" s="2"/>
      <c r="AK22" s="9"/>
      <c r="AL22" s="2"/>
      <c r="AO22" s="9"/>
      <c r="AP22" s="2"/>
      <c r="AR22" s="2">
        <f t="shared" si="11"/>
        <v>91</v>
      </c>
    </row>
    <row r="23" spans="2:44" ht="16" x14ac:dyDescent="0.2">
      <c r="B23" s="18" t="s">
        <v>45</v>
      </c>
      <c r="C23" s="18">
        <v>197</v>
      </c>
      <c r="D23" s="37" t="s">
        <v>235</v>
      </c>
      <c r="E23" s="3">
        <f t="shared" si="2"/>
        <v>9.4444444444444442E-2</v>
      </c>
      <c r="F23" s="1">
        <f t="shared" si="3"/>
        <v>0</v>
      </c>
      <c r="G23" s="18">
        <v>194</v>
      </c>
      <c r="H23" s="37" t="s">
        <v>235</v>
      </c>
      <c r="I23" s="3">
        <f t="shared" si="0"/>
        <v>7.7777777777777779E-2</v>
      </c>
      <c r="J23" s="1">
        <f t="shared" si="1"/>
        <v>0</v>
      </c>
      <c r="K23" s="18">
        <v>195</v>
      </c>
      <c r="L23" s="37" t="s">
        <v>235</v>
      </c>
      <c r="M23" s="3">
        <f t="shared" si="12"/>
        <v>8.3333333333333329E-2</v>
      </c>
      <c r="N23" s="1">
        <f t="shared" si="4"/>
        <v>0</v>
      </c>
      <c r="O23" s="18">
        <f>'execs Table 7'!C13</f>
        <v>180</v>
      </c>
      <c r="P23" s="18">
        <f>'execs Table 7'!D13</f>
        <v>0.55199998617172241</v>
      </c>
      <c r="Q23" s="3">
        <f t="shared" si="5"/>
        <v>0</v>
      </c>
      <c r="R23" s="1">
        <f t="shared" si="6"/>
        <v>1</v>
      </c>
      <c r="S23" s="18">
        <f>MIN('execs Table 7'!C13,'execs Table 7'!E13,'execs Table 7'!G13,'execs Table 7'!I13,'execs Table 7'!K13,'execs Table 7'!M13,'execs Table 7'!O13,'execs Table 7'!Q13,'execs Table 7'!S13,'execs Table 7'!U13)</f>
        <v>180</v>
      </c>
      <c r="T23" s="18">
        <f>SUM('execs Table 7'!D13,'execs Table 7'!F13,'execs Table 7'!H13,'execs Table 7'!J13,'execs Table 7'!L13,'execs Table 7'!N13,'execs Table 7'!P13,'execs Table 7'!R13,'execs Table 7'!T13,'execs Table 7'!V13)</f>
        <v>5.5999999642372131</v>
      </c>
      <c r="U23" s="3">
        <f t="shared" si="7"/>
        <v>0</v>
      </c>
      <c r="V23" s="1">
        <f t="shared" si="8"/>
        <v>1</v>
      </c>
      <c r="W23" s="18">
        <f>MIN('execs Table 7'!G13,'execs Table 7'!I13,'execs Table 7'!K13,'execs Table 7'!M13,'execs Table 7'!O13,'execs Table 7'!Q13,'execs Table 7'!S13,'execs Table 7'!U13,'execs Table 7'!W13,'execs Table 7'!Y13,'execs Table 7'!C13,'execs Table 7'!E13,'execs Table 7'!AA13,'execs Table 7'!AC13,'execs Table 7'!AE13,'execs Table 7'!AG13,'execs Table 7'!AI13,'execs Table 7'!AK13,'execs Table 7'!AM13,'execs Table 7'!AO13)</f>
        <v>180</v>
      </c>
      <c r="X23" s="18">
        <f>SUM('execs Table 7'!H13,'execs Table 7'!J13,'execs Table 7'!L13,'execs Table 7'!N13,'execs Table 7'!P13,'execs Table 7'!R13,'execs Table 7'!T13,'execs Table 7'!V13,'execs Table 7'!X13,'execs Table 7'!Z13,'execs Table 7'!D13,'execs Table 7'!F13,'execs Table 7'!AB13,'execs Table 7'!AD13,'execs Table 7'!AF13,'execs Table 7'!AH13,'execs Table 7'!AJ13,'execs Table 7'!AL13,'execs Table 7'!AN13,'execs Table 7'!AP13)</f>
        <v>11.07399994134903</v>
      </c>
      <c r="Y23" s="3">
        <f t="shared" si="9"/>
        <v>0</v>
      </c>
      <c r="Z23" s="1">
        <f t="shared" si="10"/>
        <v>1</v>
      </c>
      <c r="AG23" s="9"/>
      <c r="AH23" s="2"/>
      <c r="AK23" s="9"/>
      <c r="AL23" s="2"/>
      <c r="AO23" s="9"/>
      <c r="AP23" s="2"/>
      <c r="AR23" s="2">
        <f t="shared" si="11"/>
        <v>180</v>
      </c>
    </row>
    <row r="24" spans="2:44" ht="16" x14ac:dyDescent="0.2">
      <c r="B24" s="18" t="s">
        <v>46</v>
      </c>
      <c r="C24" s="18">
        <v>412</v>
      </c>
      <c r="D24" s="37" t="s">
        <v>235</v>
      </c>
      <c r="E24" s="3">
        <f t="shared" si="2"/>
        <v>0.11653116531165311</v>
      </c>
      <c r="F24" s="1">
        <f t="shared" si="3"/>
        <v>0</v>
      </c>
      <c r="G24" s="18">
        <v>405</v>
      </c>
      <c r="H24" s="37" t="s">
        <v>235</v>
      </c>
      <c r="I24" s="3">
        <f t="shared" si="0"/>
        <v>9.7560975609756101E-2</v>
      </c>
      <c r="J24" s="1">
        <f t="shared" si="1"/>
        <v>0</v>
      </c>
      <c r="K24" s="18">
        <v>398</v>
      </c>
      <c r="L24" s="37" t="s">
        <v>235</v>
      </c>
      <c r="M24" s="3">
        <f t="shared" si="12"/>
        <v>7.8590785907859076E-2</v>
      </c>
      <c r="N24" s="1">
        <f t="shared" si="4"/>
        <v>0</v>
      </c>
      <c r="O24" s="18">
        <f>'execs Table 7'!C14</f>
        <v>371</v>
      </c>
      <c r="P24" s="18">
        <f>'execs Table 7'!D14</f>
        <v>0.47099998593330383</v>
      </c>
      <c r="Q24" s="3">
        <f t="shared" si="5"/>
        <v>5.4200542005420054E-3</v>
      </c>
      <c r="R24" s="1">
        <f t="shared" si="6"/>
        <v>0</v>
      </c>
      <c r="S24" s="18">
        <f>MIN('execs Table 7'!C14,'execs Table 7'!E14,'execs Table 7'!G14,'execs Table 7'!I14,'execs Table 7'!K14,'execs Table 7'!M14,'execs Table 7'!O14,'execs Table 7'!Q14,'execs Table 7'!S14,'execs Table 7'!U14)</f>
        <v>369</v>
      </c>
      <c r="T24" s="18">
        <f>SUM('execs Table 7'!D14,'execs Table 7'!F14,'execs Table 7'!H14,'execs Table 7'!J14,'execs Table 7'!L14,'execs Table 7'!N14,'execs Table 7'!P14,'execs Table 7'!R14,'execs Table 7'!T14,'execs Table 7'!V14)</f>
        <v>5.6020000278949738</v>
      </c>
      <c r="U24" s="3">
        <f t="shared" si="7"/>
        <v>0</v>
      </c>
      <c r="V24" s="1">
        <f t="shared" si="8"/>
        <v>1</v>
      </c>
      <c r="W24" s="18">
        <f>MIN('execs Table 7'!G14,'execs Table 7'!I14,'execs Table 7'!K14,'execs Table 7'!M14,'execs Table 7'!O14,'execs Table 7'!Q14,'execs Table 7'!S14,'execs Table 7'!U14,'execs Table 7'!W14,'execs Table 7'!Y14,'execs Table 7'!C14,'execs Table 7'!E14,'execs Table 7'!AA14,'execs Table 7'!AC14,'execs Table 7'!AE14,'execs Table 7'!AG14,'execs Table 7'!AI14,'execs Table 7'!AK14,'execs Table 7'!AM14,'execs Table 7'!AO14)</f>
        <v>369</v>
      </c>
      <c r="X24" s="18">
        <f>SUM('execs Table 7'!H14,'execs Table 7'!J14,'execs Table 7'!L14,'execs Table 7'!N14,'execs Table 7'!P14,'execs Table 7'!R14,'execs Table 7'!T14,'execs Table 7'!V14,'execs Table 7'!X14,'execs Table 7'!Z14,'execs Table 7'!D14,'execs Table 7'!F14,'execs Table 7'!AB14,'execs Table 7'!AD14,'execs Table 7'!AF14,'execs Table 7'!AH14,'execs Table 7'!AJ14,'execs Table 7'!AL14,'execs Table 7'!AN14,'execs Table 7'!AP14)</f>
        <v>10.383999973535538</v>
      </c>
      <c r="Y24" s="3">
        <f t="shared" si="9"/>
        <v>0</v>
      </c>
      <c r="Z24" s="1">
        <f t="shared" si="10"/>
        <v>1</v>
      </c>
      <c r="AG24" s="9"/>
      <c r="AH24" s="2"/>
      <c r="AK24" s="9"/>
      <c r="AL24" s="2"/>
      <c r="AO24" s="9"/>
      <c r="AP24" s="2"/>
      <c r="AR24" s="2">
        <f t="shared" si="11"/>
        <v>369</v>
      </c>
    </row>
    <row r="25" spans="2:44" ht="16" x14ac:dyDescent="0.2">
      <c r="B25" s="18" t="s">
        <v>135</v>
      </c>
      <c r="C25" s="37" t="s">
        <v>235</v>
      </c>
      <c r="D25" s="37" t="s">
        <v>235</v>
      </c>
      <c r="E25" s="3" t="e">
        <f t="shared" si="2"/>
        <v>#VALUE!</v>
      </c>
      <c r="F25" s="1">
        <f t="shared" si="3"/>
        <v>0</v>
      </c>
      <c r="G25" s="37" t="s">
        <v>235</v>
      </c>
      <c r="H25" s="37" t="s">
        <v>235</v>
      </c>
      <c r="I25" s="3" t="e">
        <f t="shared" si="0"/>
        <v>#VALUE!</v>
      </c>
      <c r="J25" s="1">
        <f t="shared" si="1"/>
        <v>0</v>
      </c>
      <c r="K25" s="37" t="s">
        <v>235</v>
      </c>
      <c r="L25" s="37" t="s">
        <v>235</v>
      </c>
      <c r="M25" s="3" t="e">
        <f t="shared" si="12"/>
        <v>#VALUE!</v>
      </c>
      <c r="N25" s="1">
        <f t="shared" si="4"/>
        <v>0</v>
      </c>
      <c r="O25" s="18">
        <f>'execs Table 7'!C15</f>
        <v>1201</v>
      </c>
      <c r="P25" s="18">
        <f>'execs Table 7'!D15</f>
        <v>17.753999710083008</v>
      </c>
      <c r="Q25" s="3">
        <f t="shared" si="5"/>
        <v>0</v>
      </c>
      <c r="R25" s="1">
        <f t="shared" si="6"/>
        <v>1</v>
      </c>
      <c r="S25" s="18">
        <f>MIN('execs Table 7'!C15,'execs Table 7'!E15,'execs Table 7'!G15,'execs Table 7'!I15,'execs Table 7'!K15,'execs Table 7'!M15,'execs Table 7'!O15,'execs Table 7'!Q15,'execs Table 7'!S15,'execs Table 7'!U15)</f>
        <v>1201</v>
      </c>
      <c r="T25" s="18">
        <f>SUM('execs Table 7'!D15,'execs Table 7'!F15,'execs Table 7'!H15,'execs Table 7'!J15,'execs Table 7'!L15,'execs Table 7'!N15,'execs Table 7'!P15,'execs Table 7'!R15,'execs Table 7'!T15,'execs Table 7'!V15)</f>
        <v>127.13199901580811</v>
      </c>
      <c r="U25" s="3">
        <f t="shared" si="7"/>
        <v>0</v>
      </c>
      <c r="V25" s="1">
        <f t="shared" si="8"/>
        <v>1</v>
      </c>
      <c r="W25" s="18">
        <f>MIN('execs Table 7'!G15,'execs Table 7'!I15,'execs Table 7'!K15,'execs Table 7'!M15,'execs Table 7'!O15,'execs Table 7'!Q15,'execs Table 7'!S15,'execs Table 7'!U15,'execs Table 7'!W15,'execs Table 7'!Y15,'execs Table 7'!C15,'execs Table 7'!E15,'execs Table 7'!AA15,'execs Table 7'!AC15,'execs Table 7'!AE15,'execs Table 7'!AG15,'execs Table 7'!AI15,'execs Table 7'!AK15,'execs Table 7'!AM15,'execs Table 7'!AO15)</f>
        <v>1201</v>
      </c>
      <c r="X25" s="18">
        <f>SUM('execs Table 7'!H15,'execs Table 7'!J15,'execs Table 7'!L15,'execs Table 7'!N15,'execs Table 7'!P15,'execs Table 7'!R15,'execs Table 7'!T15,'execs Table 7'!V15,'execs Table 7'!X15,'execs Table 7'!Z15,'execs Table 7'!D15,'execs Table 7'!F15,'execs Table 7'!AB15,'execs Table 7'!AD15,'execs Table 7'!AF15,'execs Table 7'!AH15,'execs Table 7'!AJ15,'execs Table 7'!AL15,'execs Table 7'!AN15,'execs Table 7'!AP15)</f>
        <v>271.61999797821045</v>
      </c>
      <c r="Y25" s="3">
        <f t="shared" si="9"/>
        <v>0</v>
      </c>
      <c r="Z25" s="1">
        <f t="shared" si="10"/>
        <v>1</v>
      </c>
      <c r="AB25" s="28"/>
      <c r="AC25" s="28"/>
      <c r="AD25" s="28"/>
      <c r="AG25" s="9"/>
      <c r="AH25" s="2"/>
      <c r="AK25" s="9"/>
      <c r="AL25" s="2"/>
      <c r="AO25" s="9"/>
      <c r="AP25" s="2"/>
      <c r="AR25" s="2">
        <f t="shared" si="11"/>
        <v>1201</v>
      </c>
    </row>
    <row r="26" spans="2:44" ht="16" x14ac:dyDescent="0.2">
      <c r="B26" s="18" t="s">
        <v>136</v>
      </c>
      <c r="C26" s="37" t="s">
        <v>235</v>
      </c>
      <c r="D26" s="37" t="s">
        <v>235</v>
      </c>
      <c r="E26" s="3" t="e">
        <f t="shared" si="2"/>
        <v>#VALUE!</v>
      </c>
      <c r="F26" s="1">
        <f t="shared" si="3"/>
        <v>0</v>
      </c>
      <c r="G26" s="37" t="s">
        <v>235</v>
      </c>
      <c r="H26" s="37" t="s">
        <v>235</v>
      </c>
      <c r="I26" s="3" t="e">
        <f t="shared" si="0"/>
        <v>#VALUE!</v>
      </c>
      <c r="J26" s="1">
        <f t="shared" si="1"/>
        <v>0</v>
      </c>
      <c r="K26" s="37" t="s">
        <v>235</v>
      </c>
      <c r="L26" s="37" t="s">
        <v>235</v>
      </c>
      <c r="M26" s="3" t="e">
        <f t="shared" si="12"/>
        <v>#VALUE!</v>
      </c>
      <c r="N26" s="1">
        <f t="shared" si="4"/>
        <v>0</v>
      </c>
      <c r="O26" s="18">
        <f>'execs Table 7'!C16</f>
        <v>1331</v>
      </c>
      <c r="P26" s="18">
        <f>'execs Table 7'!D16</f>
        <v>21.239999771118164</v>
      </c>
      <c r="Q26" s="3">
        <f t="shared" si="5"/>
        <v>3.770739064856712E-3</v>
      </c>
      <c r="R26" s="1">
        <f t="shared" si="6"/>
        <v>0</v>
      </c>
      <c r="S26" s="18">
        <f>MIN('execs Table 7'!C16,'execs Table 7'!E16,'execs Table 7'!G16,'execs Table 7'!I16,'execs Table 7'!K16,'execs Table 7'!M16,'execs Table 7'!O16,'execs Table 7'!Q16,'execs Table 7'!S16,'execs Table 7'!U16)</f>
        <v>1326</v>
      </c>
      <c r="T26" s="18">
        <f>SUM('execs Table 7'!D16,'execs Table 7'!F16,'execs Table 7'!H16,'execs Table 7'!J16,'execs Table 7'!L16,'execs Table 7'!N16,'execs Table 7'!P16,'execs Table 7'!R16,'execs Table 7'!T16,'execs Table 7'!V16)</f>
        <v>188.59800052642822</v>
      </c>
      <c r="U26" s="3">
        <f t="shared" si="7"/>
        <v>0</v>
      </c>
      <c r="V26" s="1">
        <f t="shared" si="8"/>
        <v>1</v>
      </c>
      <c r="W26" s="18">
        <f>MIN('execs Table 7'!G16,'execs Table 7'!I16,'execs Table 7'!K16,'execs Table 7'!M16,'execs Table 7'!O16,'execs Table 7'!Q16,'execs Table 7'!S16,'execs Table 7'!U16,'execs Table 7'!W16,'execs Table 7'!Y16,'execs Table 7'!C16,'execs Table 7'!E16,'execs Table 7'!AA16,'execs Table 7'!AC16,'execs Table 7'!AE16,'execs Table 7'!AG16,'execs Table 7'!AI16,'execs Table 7'!AK16,'execs Table 7'!AM16,'execs Table 7'!AO16)</f>
        <v>1326</v>
      </c>
      <c r="X26" s="18">
        <f>SUM('execs Table 7'!H16,'execs Table 7'!J16,'execs Table 7'!L16,'execs Table 7'!N16,'execs Table 7'!P16,'execs Table 7'!R16,'execs Table 7'!T16,'execs Table 7'!V16,'execs Table 7'!X16,'execs Table 7'!Z16,'execs Table 7'!D16,'execs Table 7'!F16,'execs Table 7'!AB16,'execs Table 7'!AD16,'execs Table 7'!AF16,'execs Table 7'!AH16,'execs Table 7'!AJ16,'execs Table 7'!AL16,'execs Table 7'!AN16,'execs Table 7'!AP16)</f>
        <v>419.94199848175049</v>
      </c>
      <c r="Y26" s="3">
        <f t="shared" si="9"/>
        <v>0</v>
      </c>
      <c r="Z26" s="1">
        <f t="shared" si="10"/>
        <v>1</v>
      </c>
      <c r="AB26" s="28"/>
      <c r="AC26" s="28"/>
      <c r="AD26" s="28"/>
      <c r="AG26" s="9"/>
      <c r="AH26" s="2"/>
      <c r="AK26" s="9"/>
      <c r="AL26" s="2"/>
      <c r="AO26" s="9"/>
      <c r="AP26" s="2"/>
      <c r="AR26" s="2">
        <f t="shared" si="11"/>
        <v>1326</v>
      </c>
    </row>
    <row r="27" spans="2:44" ht="16" x14ac:dyDescent="0.2">
      <c r="B27" s="18" t="s">
        <v>47</v>
      </c>
      <c r="C27" s="18">
        <v>20</v>
      </c>
      <c r="D27" s="37" t="s">
        <v>235</v>
      </c>
      <c r="E27" s="3">
        <f t="shared" si="2"/>
        <v>0.1111111111111111</v>
      </c>
      <c r="F27" s="1">
        <f t="shared" si="3"/>
        <v>0</v>
      </c>
      <c r="G27" s="18">
        <v>18</v>
      </c>
      <c r="H27" s="37" t="s">
        <v>235</v>
      </c>
      <c r="I27" s="3">
        <f t="shared" si="0"/>
        <v>0</v>
      </c>
      <c r="J27" s="1">
        <f t="shared" si="1"/>
        <v>1</v>
      </c>
      <c r="K27" s="18">
        <v>18</v>
      </c>
      <c r="L27" s="37" t="s">
        <v>235</v>
      </c>
      <c r="M27" s="3">
        <f t="shared" si="12"/>
        <v>0</v>
      </c>
      <c r="N27" s="1">
        <f t="shared" si="4"/>
        <v>1</v>
      </c>
      <c r="O27" s="18">
        <f>'execs Table 7'!C17</f>
        <v>18</v>
      </c>
      <c r="P27" s="18">
        <f>'execs Table 7'!D17</f>
        <v>1.9999999552965164E-2</v>
      </c>
      <c r="Q27" s="3">
        <f t="shared" si="5"/>
        <v>0</v>
      </c>
      <c r="R27" s="1">
        <f t="shared" si="6"/>
        <v>1</v>
      </c>
      <c r="S27" s="18">
        <f>MIN('execs Table 7'!C17,'execs Table 7'!E17,'execs Table 7'!G17,'execs Table 7'!I17,'execs Table 7'!K17,'execs Table 7'!M17,'execs Table 7'!O17,'execs Table 7'!Q17,'execs Table 7'!S17,'execs Table 7'!U17)</f>
        <v>18</v>
      </c>
      <c r="T27" s="18">
        <f>SUM('execs Table 7'!D17,'execs Table 7'!F17,'execs Table 7'!H17,'execs Table 7'!J17,'execs Table 7'!L17,'execs Table 7'!N17,'execs Table 7'!P17,'execs Table 7'!R17,'execs Table 7'!T17,'execs Table 7'!V17)</f>
        <v>0.19100000057369471</v>
      </c>
      <c r="U27" s="3">
        <f t="shared" si="7"/>
        <v>0</v>
      </c>
      <c r="V27" s="1">
        <f t="shared" si="8"/>
        <v>1</v>
      </c>
      <c r="W27" s="18">
        <f>MIN('execs Table 7'!G17,'execs Table 7'!I17,'execs Table 7'!K17,'execs Table 7'!M17,'execs Table 7'!O17,'execs Table 7'!Q17,'execs Table 7'!S17,'execs Table 7'!U17,'execs Table 7'!W17,'execs Table 7'!Y17,'execs Table 7'!C17,'execs Table 7'!E17,'execs Table 7'!AA17,'execs Table 7'!AC17,'execs Table 7'!AE17,'execs Table 7'!AG17,'execs Table 7'!AI17,'execs Table 7'!AK17,'execs Table 7'!AM17,'execs Table 7'!AO17)</f>
        <v>18</v>
      </c>
      <c r="X27" s="18">
        <f>SUM('execs Table 7'!H17,'execs Table 7'!J17,'execs Table 7'!L17,'execs Table 7'!N17,'execs Table 7'!P17,'execs Table 7'!R17,'execs Table 7'!T17,'execs Table 7'!V17,'execs Table 7'!X17,'execs Table 7'!Z17,'execs Table 7'!D17,'execs Table 7'!F17,'execs Table 7'!AB17,'execs Table 7'!AD17,'execs Table 7'!AF17,'execs Table 7'!AH17,'execs Table 7'!AJ17,'execs Table 7'!AL17,'execs Table 7'!AN17,'execs Table 7'!AP17)</f>
        <v>0.39799999725073576</v>
      </c>
      <c r="Y27" s="3">
        <f t="shared" si="9"/>
        <v>0</v>
      </c>
      <c r="Z27" s="1">
        <f t="shared" si="10"/>
        <v>1</v>
      </c>
      <c r="AG27" s="9"/>
      <c r="AH27" s="2"/>
      <c r="AK27" s="9"/>
      <c r="AL27" s="2"/>
      <c r="AO27" s="9"/>
      <c r="AP27" s="2"/>
      <c r="AR27" s="2">
        <f t="shared" si="11"/>
        <v>18</v>
      </c>
    </row>
    <row r="28" spans="2:44" ht="16" x14ac:dyDescent="0.2">
      <c r="B28" s="18" t="s">
        <v>48</v>
      </c>
      <c r="C28" s="18">
        <v>3</v>
      </c>
      <c r="D28" s="37" t="s">
        <v>235</v>
      </c>
      <c r="E28" s="3">
        <f t="shared" si="2"/>
        <v>0</v>
      </c>
      <c r="F28" s="1">
        <f t="shared" si="3"/>
        <v>1</v>
      </c>
      <c r="G28" s="18">
        <v>3</v>
      </c>
      <c r="H28" s="37" t="s">
        <v>235</v>
      </c>
      <c r="I28" s="3">
        <f t="shared" si="0"/>
        <v>0</v>
      </c>
      <c r="J28" s="1">
        <f t="shared" si="1"/>
        <v>1</v>
      </c>
      <c r="K28" s="18">
        <v>3</v>
      </c>
      <c r="L28" s="37" t="s">
        <v>235</v>
      </c>
      <c r="M28" s="3">
        <f t="shared" si="12"/>
        <v>0</v>
      </c>
      <c r="N28" s="1">
        <f t="shared" si="4"/>
        <v>1</v>
      </c>
      <c r="O28" s="18">
        <f>'execs Table 7'!C18</f>
        <v>3</v>
      </c>
      <c r="P28" s="18">
        <f>'execs Table 7'!D18</f>
        <v>3.062999963760376</v>
      </c>
      <c r="Q28" s="3">
        <f t="shared" si="5"/>
        <v>0</v>
      </c>
      <c r="R28" s="1">
        <f t="shared" si="6"/>
        <v>1</v>
      </c>
      <c r="S28" s="18">
        <f>MIN('execs Table 7'!C18,'execs Table 7'!E18,'execs Table 7'!G18,'execs Table 7'!I18,'execs Table 7'!K18,'execs Table 7'!M18,'execs Table 7'!O18,'execs Table 7'!Q18,'execs Table 7'!S18,'execs Table 7'!U18)</f>
        <v>3</v>
      </c>
      <c r="T28" s="18">
        <f>SUM('execs Table 7'!D18,'execs Table 7'!F18,'execs Table 7'!H18,'execs Table 7'!J18,'execs Table 7'!L18,'execs Table 7'!N18,'execs Table 7'!P18,'execs Table 7'!R18,'execs Table 7'!T18,'execs Table 7'!V18)</f>
        <v>31.276999950408936</v>
      </c>
      <c r="U28" s="3">
        <f t="shared" si="7"/>
        <v>0</v>
      </c>
      <c r="V28" s="1">
        <f t="shared" si="8"/>
        <v>1</v>
      </c>
      <c r="W28" s="18">
        <f>MIN('execs Table 7'!G18,'execs Table 7'!I18,'execs Table 7'!K18,'execs Table 7'!M18,'execs Table 7'!O18,'execs Table 7'!Q18,'execs Table 7'!S18,'execs Table 7'!U18,'execs Table 7'!W18,'execs Table 7'!Y18,'execs Table 7'!C18,'execs Table 7'!E18,'execs Table 7'!AA18,'execs Table 7'!AC18,'execs Table 7'!AE18,'execs Table 7'!AG18,'execs Table 7'!AI18,'execs Table 7'!AK18,'execs Table 7'!AM18,'execs Table 7'!AO18)</f>
        <v>3</v>
      </c>
      <c r="X28" s="18">
        <f>SUM('execs Table 7'!H18,'execs Table 7'!J18,'execs Table 7'!L18,'execs Table 7'!N18,'execs Table 7'!P18,'execs Table 7'!R18,'execs Table 7'!T18,'execs Table 7'!V18,'execs Table 7'!X18,'execs Table 7'!Z18,'execs Table 7'!D18,'execs Table 7'!F18,'execs Table 7'!AB18,'execs Table 7'!AD18,'execs Table 7'!AF18,'execs Table 7'!AH18,'execs Table 7'!AJ18,'execs Table 7'!AL18,'execs Table 7'!AN18,'execs Table 7'!AP18)</f>
        <v>62.989999771118164</v>
      </c>
      <c r="Y28" s="3">
        <f t="shared" si="9"/>
        <v>0</v>
      </c>
      <c r="Z28" s="1">
        <f t="shared" si="10"/>
        <v>1</v>
      </c>
      <c r="AG28" s="9"/>
      <c r="AH28" s="2"/>
      <c r="AK28" s="9"/>
      <c r="AL28" s="2"/>
      <c r="AO28" s="9"/>
      <c r="AP28" s="2"/>
      <c r="AR28" s="2">
        <f t="shared" si="11"/>
        <v>3</v>
      </c>
    </row>
    <row r="29" spans="2:44" ht="16" x14ac:dyDescent="0.2">
      <c r="B29" s="18" t="s">
        <v>49</v>
      </c>
      <c r="C29" s="18">
        <v>66</v>
      </c>
      <c r="D29" s="37" t="s">
        <v>235</v>
      </c>
      <c r="E29" s="3">
        <f t="shared" si="2"/>
        <v>6.4516129032258063E-2</v>
      </c>
      <c r="F29" s="1">
        <f t="shared" si="3"/>
        <v>0</v>
      </c>
      <c r="G29" s="18">
        <v>65</v>
      </c>
      <c r="H29" s="37" t="s">
        <v>235</v>
      </c>
      <c r="I29" s="3">
        <f t="shared" si="0"/>
        <v>4.8387096774193547E-2</v>
      </c>
      <c r="J29" s="1">
        <f t="shared" si="1"/>
        <v>0</v>
      </c>
      <c r="K29" s="18">
        <v>66</v>
      </c>
      <c r="L29" s="37" t="s">
        <v>235</v>
      </c>
      <c r="M29" s="3">
        <f t="shared" si="12"/>
        <v>6.4516129032258063E-2</v>
      </c>
      <c r="N29" s="1">
        <f t="shared" si="4"/>
        <v>0</v>
      </c>
      <c r="O29" s="18">
        <f>'execs Table 7'!C19</f>
        <v>62</v>
      </c>
      <c r="P29" s="18">
        <f>'execs Table 7'!D19</f>
        <v>1.7000000923871994E-2</v>
      </c>
      <c r="Q29" s="3">
        <f t="shared" si="5"/>
        <v>0</v>
      </c>
      <c r="R29" s="1">
        <f t="shared" si="6"/>
        <v>1</v>
      </c>
      <c r="S29" s="18">
        <f>MIN('execs Table 7'!C19,'execs Table 7'!E19,'execs Table 7'!G19,'execs Table 7'!I19,'execs Table 7'!K19,'execs Table 7'!M19,'execs Table 7'!O19,'execs Table 7'!Q19,'execs Table 7'!S19,'execs Table 7'!U19)</f>
        <v>62</v>
      </c>
      <c r="T29" s="18">
        <f>SUM('execs Table 7'!D19,'execs Table 7'!F19,'execs Table 7'!H19,'execs Table 7'!J19,'execs Table 7'!L19,'execs Table 7'!N19,'execs Table 7'!P19,'execs Table 7'!R19,'execs Table 7'!T19,'execs Table 7'!V19)</f>
        <v>0.18899999745190144</v>
      </c>
      <c r="U29" s="3">
        <f t="shared" si="7"/>
        <v>0</v>
      </c>
      <c r="V29" s="1">
        <f t="shared" si="8"/>
        <v>1</v>
      </c>
      <c r="W29" s="18">
        <f>MIN('execs Table 7'!G19,'execs Table 7'!I19,'execs Table 7'!K19,'execs Table 7'!M19,'execs Table 7'!O19,'execs Table 7'!Q19,'execs Table 7'!S19,'execs Table 7'!U19,'execs Table 7'!W19,'execs Table 7'!Y19,'execs Table 7'!C19,'execs Table 7'!E19,'execs Table 7'!AA19,'execs Table 7'!AC19,'execs Table 7'!AE19,'execs Table 7'!AG19,'execs Table 7'!AI19,'execs Table 7'!AK19,'execs Table 7'!AM19,'execs Table 7'!AO19)</f>
        <v>62</v>
      </c>
      <c r="X29" s="18">
        <f>SUM('execs Table 7'!H19,'execs Table 7'!J19,'execs Table 7'!L19,'execs Table 7'!N19,'execs Table 7'!P19,'execs Table 7'!R19,'execs Table 7'!T19,'execs Table 7'!V19,'execs Table 7'!X19,'execs Table 7'!Z19,'execs Table 7'!D19,'execs Table 7'!F19,'execs Table 7'!AB19,'execs Table 7'!AD19,'execs Table 7'!AF19,'execs Table 7'!AH19,'execs Table 7'!AJ19,'execs Table 7'!AL19,'execs Table 7'!AN19,'execs Table 7'!AP19)</f>
        <v>0.40999999642372131</v>
      </c>
      <c r="Y29" s="3">
        <f t="shared" si="9"/>
        <v>0</v>
      </c>
      <c r="Z29" s="1">
        <f t="shared" si="10"/>
        <v>1</v>
      </c>
      <c r="AG29" s="9"/>
      <c r="AH29" s="2"/>
      <c r="AK29" s="9"/>
      <c r="AL29" s="2"/>
      <c r="AO29" s="9"/>
      <c r="AP29" s="2"/>
      <c r="AR29" s="2">
        <f t="shared" si="11"/>
        <v>62</v>
      </c>
    </row>
    <row r="30" spans="2:44" ht="16" x14ac:dyDescent="0.2">
      <c r="B30" s="18" t="s">
        <v>50</v>
      </c>
      <c r="C30" s="18">
        <v>24</v>
      </c>
      <c r="D30" s="37" t="s">
        <v>235</v>
      </c>
      <c r="E30" s="3">
        <f t="shared" si="2"/>
        <v>9.0909090909090912E-2</v>
      </c>
      <c r="F30" s="1">
        <f t="shared" si="3"/>
        <v>0</v>
      </c>
      <c r="G30" s="18">
        <v>24</v>
      </c>
      <c r="H30" s="37" t="s">
        <v>235</v>
      </c>
      <c r="I30" s="3">
        <f t="shared" si="0"/>
        <v>9.0909090909090912E-2</v>
      </c>
      <c r="J30" s="1">
        <f t="shared" si="1"/>
        <v>0</v>
      </c>
      <c r="K30" s="18">
        <v>24</v>
      </c>
      <c r="L30" s="37" t="s">
        <v>235</v>
      </c>
      <c r="M30" s="3">
        <f t="shared" si="12"/>
        <v>9.0909090909090912E-2</v>
      </c>
      <c r="N30" s="1">
        <f t="shared" si="4"/>
        <v>0</v>
      </c>
      <c r="O30" s="18">
        <f>'execs Table 7'!C20</f>
        <v>24</v>
      </c>
      <c r="P30" s="18">
        <f>'execs Table 7'!D20</f>
        <v>1.0349999666213989</v>
      </c>
      <c r="Q30" s="3">
        <f t="shared" si="5"/>
        <v>9.0909090909090912E-2</v>
      </c>
      <c r="R30" s="1">
        <f t="shared" si="6"/>
        <v>0</v>
      </c>
      <c r="S30" s="18">
        <f>MIN('execs Table 7'!C20,'execs Table 7'!E20,'execs Table 7'!G20,'execs Table 7'!I20,'execs Table 7'!K20,'execs Table 7'!M20,'execs Table 7'!O20,'execs Table 7'!Q20,'execs Table 7'!S20,'execs Table 7'!U20)</f>
        <v>22</v>
      </c>
      <c r="T30" s="18">
        <f>SUM('execs Table 7'!D20,'execs Table 7'!F20,'execs Table 7'!H20,'execs Table 7'!J20,'execs Table 7'!L20,'execs Table 7'!N20,'execs Table 7'!P20,'execs Table 7'!R20,'execs Table 7'!T20,'execs Table 7'!V20)</f>
        <v>14.399999856948853</v>
      </c>
      <c r="U30" s="3">
        <f t="shared" si="7"/>
        <v>0</v>
      </c>
      <c r="V30" s="1">
        <f t="shared" si="8"/>
        <v>1</v>
      </c>
      <c r="W30" s="18">
        <f>MIN('execs Table 7'!G20,'execs Table 7'!I20,'execs Table 7'!K20,'execs Table 7'!M20,'execs Table 7'!O20,'execs Table 7'!Q20,'execs Table 7'!S20,'execs Table 7'!U20,'execs Table 7'!W20,'execs Table 7'!Y20,'execs Table 7'!C20,'execs Table 7'!E20,'execs Table 7'!AA20,'execs Table 7'!AC20,'execs Table 7'!AE20,'execs Table 7'!AG20,'execs Table 7'!AI20,'execs Table 7'!AK20,'execs Table 7'!AM20,'execs Table 7'!AO20)</f>
        <v>22</v>
      </c>
      <c r="X30" s="18">
        <f>SUM('execs Table 7'!H20,'execs Table 7'!J20,'execs Table 7'!L20,'execs Table 7'!N20,'execs Table 7'!P20,'execs Table 7'!R20,'execs Table 7'!T20,'execs Table 7'!V20,'execs Table 7'!X20,'execs Table 7'!Z20,'execs Table 7'!D20,'execs Table 7'!F20,'execs Table 7'!AB20,'execs Table 7'!AD20,'execs Table 7'!AF20,'execs Table 7'!AH20,'execs Table 7'!AJ20,'execs Table 7'!AL20,'execs Table 7'!AN20,'execs Table 7'!AP20)</f>
        <v>26.699999928474426</v>
      </c>
      <c r="Y30" s="3">
        <f t="shared" si="9"/>
        <v>0</v>
      </c>
      <c r="Z30" s="1">
        <f t="shared" si="10"/>
        <v>1</v>
      </c>
      <c r="AG30" s="9"/>
      <c r="AH30" s="2"/>
      <c r="AK30" s="9"/>
      <c r="AL30" s="2"/>
      <c r="AO30" s="9"/>
      <c r="AP30" s="2"/>
      <c r="AR30" s="2">
        <f t="shared" si="11"/>
        <v>22</v>
      </c>
    </row>
    <row r="31" spans="2:44" ht="16" x14ac:dyDescent="0.2">
      <c r="B31" s="18" t="s">
        <v>137</v>
      </c>
      <c r="C31" s="37" t="s">
        <v>235</v>
      </c>
      <c r="D31" s="37" t="s">
        <v>235</v>
      </c>
      <c r="E31" s="3" t="e">
        <f t="shared" si="2"/>
        <v>#VALUE!</v>
      </c>
      <c r="F31" s="1">
        <f t="shared" si="3"/>
        <v>0</v>
      </c>
      <c r="G31" s="37" t="s">
        <v>235</v>
      </c>
      <c r="H31" s="37" t="s">
        <v>235</v>
      </c>
      <c r="I31" s="3" t="e">
        <f t="shared" si="0"/>
        <v>#VALUE!</v>
      </c>
      <c r="J31" s="1">
        <f t="shared" si="1"/>
        <v>0</v>
      </c>
      <c r="K31" s="37" t="s">
        <v>235</v>
      </c>
      <c r="L31" s="37" t="s">
        <v>235</v>
      </c>
      <c r="M31" s="3" t="e">
        <f t="shared" si="12"/>
        <v>#VALUE!</v>
      </c>
      <c r="N31" s="1">
        <f t="shared" si="4"/>
        <v>0</v>
      </c>
      <c r="O31" s="18">
        <f>'execs Table 7'!C21</f>
        <v>1061</v>
      </c>
      <c r="P31" s="18">
        <f>'execs Table 7'!D21</f>
        <v>22.406999588012695</v>
      </c>
      <c r="Q31" s="3">
        <f t="shared" si="5"/>
        <v>4.5320197044334973E-2</v>
      </c>
      <c r="R31" s="1">
        <f t="shared" si="6"/>
        <v>0</v>
      </c>
      <c r="S31" s="18">
        <f>MIN('execs Table 7'!C21,'execs Table 7'!E21,'execs Table 7'!G21,'execs Table 7'!I21,'execs Table 7'!K21,'execs Table 7'!M21,'execs Table 7'!O21,'execs Table 7'!Q21,'execs Table 7'!S21,'execs Table 7'!U21)</f>
        <v>1015</v>
      </c>
      <c r="T31" s="18">
        <f>SUM('execs Table 7'!D21,'execs Table 7'!F21,'execs Table 7'!H21,'execs Table 7'!J21,'execs Table 7'!L21,'execs Table 7'!N21,'execs Table 7'!P21,'execs Table 7'!R21,'execs Table 7'!T21,'execs Table 7'!V21)</f>
        <v>229.82100200653076</v>
      </c>
      <c r="U31" s="3">
        <f t="shared" si="7"/>
        <v>0</v>
      </c>
      <c r="V31" s="1">
        <f t="shared" si="8"/>
        <v>1</v>
      </c>
      <c r="W31" s="18">
        <f>MIN('execs Table 7'!G21,'execs Table 7'!I21,'execs Table 7'!K21,'execs Table 7'!M21,'execs Table 7'!O21,'execs Table 7'!Q21,'execs Table 7'!S21,'execs Table 7'!U21,'execs Table 7'!W21,'execs Table 7'!Y21,'execs Table 7'!C21,'execs Table 7'!E21,'execs Table 7'!AA21,'execs Table 7'!AC21,'execs Table 7'!AE21,'execs Table 7'!AG21,'execs Table 7'!AI21,'execs Table 7'!AK21,'execs Table 7'!AM21,'execs Table 7'!AO21)</f>
        <v>1015</v>
      </c>
      <c r="X31" s="18">
        <f>SUM('execs Table 7'!H21,'execs Table 7'!J21,'execs Table 7'!L21,'execs Table 7'!N21,'execs Table 7'!P21,'execs Table 7'!R21,'execs Table 7'!T21,'execs Table 7'!V21,'execs Table 7'!X21,'execs Table 7'!Z21,'execs Table 7'!D21,'execs Table 7'!F21,'execs Table 7'!AB21,'execs Table 7'!AD21,'execs Table 7'!AF21,'execs Table 7'!AH21,'execs Table 7'!AJ21,'execs Table 7'!AL21,'execs Table 7'!AN21,'execs Table 7'!AP21)</f>
        <v>459.51899719238281</v>
      </c>
      <c r="Y31" s="3">
        <f t="shared" si="9"/>
        <v>0</v>
      </c>
      <c r="Z31" s="1">
        <f t="shared" si="10"/>
        <v>1</v>
      </c>
      <c r="AB31" s="28"/>
      <c r="AC31" s="28"/>
      <c r="AD31" s="28"/>
      <c r="AG31" s="9"/>
      <c r="AH31" s="2"/>
      <c r="AK31" s="9"/>
      <c r="AL31" s="2"/>
      <c r="AO31" s="9"/>
      <c r="AP31" s="2"/>
      <c r="AR31" s="2">
        <f t="shared" si="11"/>
        <v>1015</v>
      </c>
    </row>
    <row r="32" spans="2:44" ht="16" x14ac:dyDescent="0.2">
      <c r="B32" s="18" t="s">
        <v>51</v>
      </c>
      <c r="C32" s="18">
        <v>405</v>
      </c>
      <c r="D32" s="37" t="s">
        <v>235</v>
      </c>
      <c r="E32" s="3">
        <f t="shared" si="2"/>
        <v>0.21987951807228914</v>
      </c>
      <c r="F32" s="1">
        <f t="shared" si="3"/>
        <v>0</v>
      </c>
      <c r="G32" s="18">
        <v>399</v>
      </c>
      <c r="H32" s="37" t="s">
        <v>235</v>
      </c>
      <c r="I32" s="3">
        <f t="shared" si="0"/>
        <v>0.20180722891566266</v>
      </c>
      <c r="J32" s="1">
        <f t="shared" si="1"/>
        <v>0</v>
      </c>
      <c r="K32" s="18">
        <v>399</v>
      </c>
      <c r="L32" s="37" t="s">
        <v>235</v>
      </c>
      <c r="M32" s="3">
        <f t="shared" si="12"/>
        <v>0.20180722891566266</v>
      </c>
      <c r="N32" s="1">
        <f t="shared" si="4"/>
        <v>0</v>
      </c>
      <c r="O32" s="18">
        <f>'execs Table 7'!C22</f>
        <v>333</v>
      </c>
      <c r="P32" s="18">
        <f>'execs Table 7'!D22</f>
        <v>16.715999603271484</v>
      </c>
      <c r="Q32" s="3">
        <f t="shared" si="5"/>
        <v>3.0120481927710845E-3</v>
      </c>
      <c r="R32" s="1">
        <f t="shared" si="6"/>
        <v>0</v>
      </c>
      <c r="S32" s="18">
        <f>MIN('execs Table 7'!C22,'execs Table 7'!E22,'execs Table 7'!G22,'execs Table 7'!I22,'execs Table 7'!K22,'execs Table 7'!M22,'execs Table 7'!O22,'execs Table 7'!Q22,'execs Table 7'!S22,'execs Table 7'!U22)</f>
        <v>332</v>
      </c>
      <c r="T32" s="18">
        <f>SUM('execs Table 7'!D22,'execs Table 7'!F22,'execs Table 7'!H22,'execs Table 7'!J22,'execs Table 7'!L22,'execs Table 7'!N22,'execs Table 7'!P22,'execs Table 7'!R22,'execs Table 7'!T22,'execs Table 7'!V22)</f>
        <v>198.43200016021729</v>
      </c>
      <c r="U32" s="3">
        <f t="shared" si="7"/>
        <v>0</v>
      </c>
      <c r="V32" s="1">
        <f t="shared" si="8"/>
        <v>1</v>
      </c>
      <c r="W32" s="18">
        <f>MIN('execs Table 7'!G22,'execs Table 7'!I22,'execs Table 7'!K22,'execs Table 7'!M22,'execs Table 7'!O22,'execs Table 7'!Q22,'execs Table 7'!S22,'execs Table 7'!U22,'execs Table 7'!W22,'execs Table 7'!Y22,'execs Table 7'!C22,'execs Table 7'!E22,'execs Table 7'!AA22,'execs Table 7'!AC22,'execs Table 7'!AE22,'execs Table 7'!AG22,'execs Table 7'!AI22,'execs Table 7'!AK22,'execs Table 7'!AM22,'execs Table 7'!AO22)</f>
        <v>332</v>
      </c>
      <c r="X32" s="18">
        <f>SUM('execs Table 7'!H22,'execs Table 7'!J22,'execs Table 7'!L22,'execs Table 7'!N22,'execs Table 7'!P22,'execs Table 7'!R22,'execs Table 7'!T22,'execs Table 7'!V22,'execs Table 7'!X22,'execs Table 7'!Z22,'execs Table 7'!D22,'execs Table 7'!F22,'execs Table 7'!AB22,'execs Table 7'!AD22,'execs Table 7'!AF22,'execs Table 7'!AH22,'execs Table 7'!AJ22,'execs Table 7'!AL22,'execs Table 7'!AN22,'execs Table 7'!AP22)</f>
        <v>373.60099983215332</v>
      </c>
      <c r="Y32" s="3">
        <f t="shared" si="9"/>
        <v>0</v>
      </c>
      <c r="Z32" s="1">
        <f t="shared" si="10"/>
        <v>1</v>
      </c>
      <c r="AG32" s="9"/>
      <c r="AH32" s="2"/>
      <c r="AK32" s="9"/>
      <c r="AL32" s="2"/>
      <c r="AO32" s="9"/>
      <c r="AP32" s="2"/>
      <c r="AR32" s="2">
        <f t="shared" si="11"/>
        <v>332</v>
      </c>
    </row>
    <row r="33" spans="2:44" ht="16" x14ac:dyDescent="0.2">
      <c r="B33" s="18" t="s">
        <v>52</v>
      </c>
      <c r="C33" s="18">
        <v>234</v>
      </c>
      <c r="D33" s="37" t="s">
        <v>235</v>
      </c>
      <c r="E33" s="3">
        <f t="shared" si="2"/>
        <v>3.5398230088495575E-2</v>
      </c>
      <c r="F33" s="1">
        <f t="shared" si="3"/>
        <v>0</v>
      </c>
      <c r="G33" s="18">
        <v>234</v>
      </c>
      <c r="H33" s="37" t="s">
        <v>235</v>
      </c>
      <c r="I33" s="3">
        <f t="shared" si="0"/>
        <v>3.5398230088495575E-2</v>
      </c>
      <c r="J33" s="1">
        <f t="shared" si="1"/>
        <v>0</v>
      </c>
      <c r="K33" s="18">
        <v>234</v>
      </c>
      <c r="L33" s="37" t="s">
        <v>235</v>
      </c>
      <c r="M33" s="3">
        <f t="shared" si="12"/>
        <v>3.5398230088495575E-2</v>
      </c>
      <c r="N33" s="1">
        <f t="shared" si="4"/>
        <v>0</v>
      </c>
      <c r="O33" s="18">
        <f>'execs Table 7'!C23</f>
        <v>228</v>
      </c>
      <c r="P33" s="18">
        <f>'execs Table 7'!D23</f>
        <v>5.1500000953674316</v>
      </c>
      <c r="Q33" s="3">
        <f t="shared" si="5"/>
        <v>8.8495575221238937E-3</v>
      </c>
      <c r="R33" s="1">
        <f t="shared" si="6"/>
        <v>0</v>
      </c>
      <c r="S33" s="18">
        <f>MIN('execs Table 7'!C23,'execs Table 7'!E23,'execs Table 7'!G23,'execs Table 7'!I23,'execs Table 7'!K23,'execs Table 7'!M23,'execs Table 7'!O23,'execs Table 7'!Q23,'execs Table 7'!S23,'execs Table 7'!U23)</f>
        <v>226</v>
      </c>
      <c r="T33" s="18">
        <f>SUM('execs Table 7'!D23,'execs Table 7'!F23,'execs Table 7'!H23,'execs Table 7'!J23,'execs Table 7'!L23,'execs Table 7'!N23,'execs Table 7'!P23,'execs Table 7'!R23,'execs Table 7'!T23,'execs Table 7'!V23)</f>
        <v>64.980000495910645</v>
      </c>
      <c r="U33" s="3">
        <f t="shared" si="7"/>
        <v>0</v>
      </c>
      <c r="V33" s="1">
        <f t="shared" si="8"/>
        <v>1</v>
      </c>
      <c r="W33" s="18">
        <f>MIN('execs Table 7'!G23,'execs Table 7'!I23,'execs Table 7'!K23,'execs Table 7'!M23,'execs Table 7'!O23,'execs Table 7'!Q23,'execs Table 7'!S23,'execs Table 7'!U23,'execs Table 7'!W23,'execs Table 7'!Y23,'execs Table 7'!C23,'execs Table 7'!E23,'execs Table 7'!AA23,'execs Table 7'!AC23,'execs Table 7'!AE23,'execs Table 7'!AG23,'execs Table 7'!AI23,'execs Table 7'!AK23,'execs Table 7'!AM23,'execs Table 7'!AO23)</f>
        <v>226</v>
      </c>
      <c r="X33" s="18">
        <f>SUM('execs Table 7'!H23,'execs Table 7'!J23,'execs Table 7'!L23,'execs Table 7'!N23,'execs Table 7'!P23,'execs Table 7'!R23,'execs Table 7'!T23,'execs Table 7'!V23,'execs Table 7'!X23,'execs Table 7'!Z23,'execs Table 7'!D23,'execs Table 7'!F23,'execs Table 7'!AB23,'execs Table 7'!AD23,'execs Table 7'!AF23,'execs Table 7'!AH23,'execs Table 7'!AJ23,'execs Table 7'!AL23,'execs Table 7'!AN23,'execs Table 7'!AP23)</f>
        <v>129.70200061798096</v>
      </c>
      <c r="Y33" s="3">
        <f t="shared" si="9"/>
        <v>0</v>
      </c>
      <c r="Z33" s="1">
        <f t="shared" si="10"/>
        <v>1</v>
      </c>
      <c r="AG33" s="9"/>
      <c r="AH33" s="2"/>
      <c r="AK33" s="9"/>
      <c r="AL33" s="2"/>
      <c r="AO33" s="9"/>
      <c r="AP33" s="2"/>
      <c r="AR33" s="2">
        <f t="shared" si="11"/>
        <v>226</v>
      </c>
    </row>
    <row r="34" spans="2:44" ht="16" x14ac:dyDescent="0.2">
      <c r="B34" s="18" t="s">
        <v>53</v>
      </c>
      <c r="C34" s="18">
        <v>237</v>
      </c>
      <c r="D34" s="37" t="s">
        <v>235</v>
      </c>
      <c r="E34" s="3">
        <f t="shared" si="2"/>
        <v>4.8672566371681415E-2</v>
      </c>
      <c r="F34" s="1">
        <f t="shared" si="3"/>
        <v>0</v>
      </c>
      <c r="G34" s="18">
        <v>234</v>
      </c>
      <c r="H34" s="37" t="s">
        <v>235</v>
      </c>
      <c r="I34" s="3">
        <f t="shared" si="0"/>
        <v>3.5398230088495575E-2</v>
      </c>
      <c r="J34" s="1">
        <f t="shared" si="1"/>
        <v>0</v>
      </c>
      <c r="K34" s="18">
        <v>234</v>
      </c>
      <c r="L34" s="37" t="s">
        <v>235</v>
      </c>
      <c r="M34" s="3">
        <f t="shared" si="12"/>
        <v>3.5398230088495575E-2</v>
      </c>
      <c r="N34" s="1">
        <f t="shared" si="4"/>
        <v>0</v>
      </c>
      <c r="O34" s="18">
        <f>'execs Table 7'!C24</f>
        <v>227</v>
      </c>
      <c r="P34" s="18">
        <f>'execs Table 7'!D24</f>
        <v>5.2020001411437988</v>
      </c>
      <c r="Q34" s="3">
        <f t="shared" si="5"/>
        <v>4.4247787610619468E-3</v>
      </c>
      <c r="R34" s="1">
        <f t="shared" si="6"/>
        <v>0</v>
      </c>
      <c r="S34" s="18">
        <f>MIN('execs Table 7'!C24,'execs Table 7'!E24,'execs Table 7'!G24,'execs Table 7'!I24,'execs Table 7'!K24,'execs Table 7'!M24,'execs Table 7'!O24,'execs Table 7'!Q24,'execs Table 7'!S24,'execs Table 7'!U24)</f>
        <v>226</v>
      </c>
      <c r="T34" s="18">
        <f>SUM('execs Table 7'!D24,'execs Table 7'!F24,'execs Table 7'!H24,'execs Table 7'!J24,'execs Table 7'!L24,'execs Table 7'!N24,'execs Table 7'!P24,'execs Table 7'!R24,'execs Table 7'!T24,'execs Table 7'!V24)</f>
        <v>69.836999893188477</v>
      </c>
      <c r="U34" s="3">
        <f t="shared" si="7"/>
        <v>0</v>
      </c>
      <c r="V34" s="1">
        <f t="shared" si="8"/>
        <v>1</v>
      </c>
      <c r="W34" s="18">
        <f>MIN('execs Table 7'!G24,'execs Table 7'!I24,'execs Table 7'!K24,'execs Table 7'!M24,'execs Table 7'!O24,'execs Table 7'!Q24,'execs Table 7'!S24,'execs Table 7'!U24,'execs Table 7'!W24,'execs Table 7'!Y24,'execs Table 7'!C24,'execs Table 7'!E24,'execs Table 7'!AA24,'execs Table 7'!AC24,'execs Table 7'!AE24,'execs Table 7'!AG24,'execs Table 7'!AI24,'execs Table 7'!AK24,'execs Table 7'!AM24,'execs Table 7'!AO24)</f>
        <v>226</v>
      </c>
      <c r="X34" s="18">
        <f>SUM('execs Table 7'!H24,'execs Table 7'!J24,'execs Table 7'!L24,'execs Table 7'!N24,'execs Table 7'!P24,'execs Table 7'!R24,'execs Table 7'!T24,'execs Table 7'!V24,'execs Table 7'!X24,'execs Table 7'!Z24,'execs Table 7'!D24,'execs Table 7'!F24,'execs Table 7'!AB24,'execs Table 7'!AD24,'execs Table 7'!AF24,'execs Table 7'!AH24,'execs Table 7'!AJ24,'execs Table 7'!AL24,'execs Table 7'!AN24,'execs Table 7'!AP24)</f>
        <v>148.83599948883057</v>
      </c>
      <c r="Y34" s="3">
        <f t="shared" si="9"/>
        <v>0</v>
      </c>
      <c r="Z34" s="1">
        <f t="shared" si="10"/>
        <v>1</v>
      </c>
      <c r="AG34" s="9"/>
      <c r="AH34" s="2"/>
      <c r="AK34" s="9"/>
      <c r="AL34" s="2"/>
      <c r="AO34" s="9"/>
      <c r="AP34" s="2"/>
      <c r="AR34" s="2">
        <f t="shared" si="11"/>
        <v>226</v>
      </c>
    </row>
    <row r="35" spans="2:44" ht="16" x14ac:dyDescent="0.2">
      <c r="B35" s="18" t="s">
        <v>54</v>
      </c>
      <c r="C35" s="18">
        <v>36</v>
      </c>
      <c r="D35" s="37" t="s">
        <v>235</v>
      </c>
      <c r="E35" s="3">
        <f t="shared" si="2"/>
        <v>0</v>
      </c>
      <c r="F35" s="1">
        <f t="shared" si="3"/>
        <v>1</v>
      </c>
      <c r="G35" s="18">
        <v>36</v>
      </c>
      <c r="H35" s="37" t="s">
        <v>235</v>
      </c>
      <c r="I35" s="3">
        <f t="shared" si="0"/>
        <v>0</v>
      </c>
      <c r="J35" s="1">
        <f t="shared" si="1"/>
        <v>1</v>
      </c>
      <c r="K35" s="18">
        <v>36</v>
      </c>
      <c r="L35" s="37" t="s">
        <v>235</v>
      </c>
      <c r="M35" s="3">
        <f t="shared" si="12"/>
        <v>0</v>
      </c>
      <c r="N35" s="1">
        <f t="shared" si="4"/>
        <v>1</v>
      </c>
      <c r="O35" s="18">
        <f>'execs Table 7'!C25</f>
        <v>36</v>
      </c>
      <c r="P35" s="18">
        <f>'execs Table 7'!D25</f>
        <v>2.9999999329447746E-2</v>
      </c>
      <c r="Q35" s="3">
        <f t="shared" si="5"/>
        <v>0</v>
      </c>
      <c r="R35" s="1">
        <f t="shared" si="6"/>
        <v>1</v>
      </c>
      <c r="S35" s="18">
        <f>MIN('execs Table 7'!C25,'execs Table 7'!E25,'execs Table 7'!G25,'execs Table 7'!I25,'execs Table 7'!K25,'execs Table 7'!M25,'execs Table 7'!O25,'execs Table 7'!Q25,'execs Table 7'!S25,'execs Table 7'!U25)</f>
        <v>36</v>
      </c>
      <c r="T35" s="18">
        <f>SUM('execs Table 7'!D25,'execs Table 7'!F25,'execs Table 7'!H25,'execs Table 7'!J25,'execs Table 7'!L25,'execs Table 7'!N25,'execs Table 7'!P25,'execs Table 7'!R25,'execs Table 7'!T25,'execs Table 7'!V25)</f>
        <v>0.29199999757111073</v>
      </c>
      <c r="U35" s="3">
        <f t="shared" si="7"/>
        <v>0</v>
      </c>
      <c r="V35" s="1">
        <f t="shared" si="8"/>
        <v>1</v>
      </c>
      <c r="W35" s="18">
        <f>MIN('execs Table 7'!G25,'execs Table 7'!I25,'execs Table 7'!K25,'execs Table 7'!M25,'execs Table 7'!O25,'execs Table 7'!Q25,'execs Table 7'!S25,'execs Table 7'!U25,'execs Table 7'!W25,'execs Table 7'!Y25,'execs Table 7'!C25,'execs Table 7'!E25,'execs Table 7'!AA25,'execs Table 7'!AC25,'execs Table 7'!AE25,'execs Table 7'!AG25,'execs Table 7'!AI25,'execs Table 7'!AK25,'execs Table 7'!AM25,'execs Table 7'!AO25)</f>
        <v>36</v>
      </c>
      <c r="X35" s="18">
        <f>SUM('execs Table 7'!H25,'execs Table 7'!J25,'execs Table 7'!L25,'execs Table 7'!N25,'execs Table 7'!P25,'execs Table 7'!R25,'execs Table 7'!T25,'execs Table 7'!V25,'execs Table 7'!X25,'execs Table 7'!Z25,'execs Table 7'!D25,'execs Table 7'!F25,'execs Table 7'!AB25,'execs Table 7'!AD25,'execs Table 7'!AF25,'execs Table 7'!AH25,'execs Table 7'!AJ25,'execs Table 7'!AL25,'execs Table 7'!AN25,'execs Table 7'!AP25)</f>
        <v>0.59199999645352364</v>
      </c>
      <c r="Y35" s="3">
        <f t="shared" si="9"/>
        <v>0</v>
      </c>
      <c r="Z35" s="1">
        <f t="shared" si="10"/>
        <v>1</v>
      </c>
      <c r="AG35" s="9"/>
      <c r="AH35" s="2"/>
      <c r="AK35" s="9"/>
      <c r="AL35" s="2"/>
      <c r="AO35" s="9"/>
      <c r="AP35" s="2"/>
      <c r="AR35" s="2">
        <f t="shared" si="11"/>
        <v>36</v>
      </c>
    </row>
    <row r="36" spans="2:44" ht="16" x14ac:dyDescent="0.2">
      <c r="B36" s="18" t="s">
        <v>55</v>
      </c>
      <c r="C36" s="18">
        <v>57</v>
      </c>
      <c r="D36" s="37" t="s">
        <v>235</v>
      </c>
      <c r="E36" s="3">
        <f t="shared" si="2"/>
        <v>0</v>
      </c>
      <c r="F36" s="1">
        <f t="shared" si="3"/>
        <v>1</v>
      </c>
      <c r="G36" s="18">
        <v>57</v>
      </c>
      <c r="H36" s="37" t="s">
        <v>235</v>
      </c>
      <c r="I36" s="3">
        <f t="shared" si="0"/>
        <v>0</v>
      </c>
      <c r="J36" s="1">
        <f t="shared" si="1"/>
        <v>1</v>
      </c>
      <c r="K36" s="18">
        <v>57</v>
      </c>
      <c r="L36" s="37" t="s">
        <v>235</v>
      </c>
      <c r="M36" s="3">
        <f t="shared" si="12"/>
        <v>0</v>
      </c>
      <c r="N36" s="1">
        <f t="shared" si="4"/>
        <v>1</v>
      </c>
      <c r="O36" s="18">
        <f>'execs Table 7'!C26</f>
        <v>57</v>
      </c>
      <c r="P36" s="18">
        <f>'execs Table 7'!D26</f>
        <v>8.6999997496604919E-2</v>
      </c>
      <c r="Q36" s="3">
        <f t="shared" si="5"/>
        <v>0</v>
      </c>
      <c r="R36" s="1">
        <f t="shared" si="6"/>
        <v>1</v>
      </c>
      <c r="S36" s="18">
        <f>MIN('execs Table 7'!C26,'execs Table 7'!E26,'execs Table 7'!G26,'execs Table 7'!I26,'execs Table 7'!K26,'execs Table 7'!M26,'execs Table 7'!O26,'execs Table 7'!Q26,'execs Table 7'!S26,'execs Table 7'!U26)</f>
        <v>57</v>
      </c>
      <c r="T36" s="18">
        <f>SUM('execs Table 7'!D26,'execs Table 7'!F26,'execs Table 7'!H26,'execs Table 7'!J26,'execs Table 7'!L26,'execs Table 7'!N26,'execs Table 7'!P26,'execs Table 7'!R26,'execs Table 7'!T26,'execs Table 7'!V26)</f>
        <v>0.87099998444318771</v>
      </c>
      <c r="U36" s="3">
        <f t="shared" si="7"/>
        <v>0</v>
      </c>
      <c r="V36" s="1">
        <f t="shared" si="8"/>
        <v>1</v>
      </c>
      <c r="W36" s="18">
        <f>MIN('execs Table 7'!G26,'execs Table 7'!I26,'execs Table 7'!K26,'execs Table 7'!M26,'execs Table 7'!O26,'execs Table 7'!Q26,'execs Table 7'!S26,'execs Table 7'!U26,'execs Table 7'!W26,'execs Table 7'!Y26,'execs Table 7'!C26,'execs Table 7'!E26,'execs Table 7'!AA26,'execs Table 7'!AC26,'execs Table 7'!AE26,'execs Table 7'!AG26,'execs Table 7'!AI26,'execs Table 7'!AK26,'execs Table 7'!AM26,'execs Table 7'!AO26)</f>
        <v>57</v>
      </c>
      <c r="X36" s="18">
        <f>SUM('execs Table 7'!H26,'execs Table 7'!J26,'execs Table 7'!L26,'execs Table 7'!N26,'execs Table 7'!P26,'execs Table 7'!R26,'execs Table 7'!T26,'execs Table 7'!V26,'execs Table 7'!X26,'execs Table 7'!Z26,'execs Table 7'!D26,'execs Table 7'!F26,'execs Table 7'!AB26,'execs Table 7'!AD26,'execs Table 7'!AF26,'execs Table 7'!AH26,'execs Table 7'!AJ26,'execs Table 7'!AL26,'execs Table 7'!AN26,'execs Table 7'!AP26)</f>
        <v>1.713999979197979</v>
      </c>
      <c r="Y36" s="3">
        <f t="shared" si="9"/>
        <v>0</v>
      </c>
      <c r="Z36" s="1">
        <f t="shared" si="10"/>
        <v>1</v>
      </c>
      <c r="AG36" s="9"/>
      <c r="AH36" s="2"/>
      <c r="AK36" s="9"/>
      <c r="AL36" s="2"/>
      <c r="AO36" s="9"/>
      <c r="AP36" s="2"/>
      <c r="AR36" s="2">
        <f t="shared" si="11"/>
        <v>57</v>
      </c>
    </row>
    <row r="37" spans="2:44" ht="16" x14ac:dyDescent="0.2">
      <c r="B37" s="18" t="s">
        <v>56</v>
      </c>
      <c r="C37" s="18">
        <v>66</v>
      </c>
      <c r="D37" s="37" t="s">
        <v>235</v>
      </c>
      <c r="E37" s="3">
        <f t="shared" si="2"/>
        <v>0</v>
      </c>
      <c r="F37" s="1">
        <f t="shared" si="3"/>
        <v>1</v>
      </c>
      <c r="G37" s="18">
        <v>69</v>
      </c>
      <c r="H37" s="37" t="s">
        <v>235</v>
      </c>
      <c r="I37" s="3">
        <f t="shared" si="0"/>
        <v>4.5454545454545456E-2</v>
      </c>
      <c r="J37" s="1">
        <f t="shared" si="1"/>
        <v>0</v>
      </c>
      <c r="K37" s="18">
        <v>66</v>
      </c>
      <c r="L37" s="37" t="s">
        <v>235</v>
      </c>
      <c r="M37" s="3">
        <f t="shared" si="12"/>
        <v>0</v>
      </c>
      <c r="N37" s="1">
        <f t="shared" si="4"/>
        <v>1</v>
      </c>
      <c r="O37" s="18">
        <f>'execs Table 7'!C27</f>
        <v>66</v>
      </c>
      <c r="P37" s="18">
        <f>'execs Table 7'!D27</f>
        <v>0.10199999809265137</v>
      </c>
      <c r="Q37" s="3">
        <f t="shared" si="5"/>
        <v>0</v>
      </c>
      <c r="R37" s="1">
        <f t="shared" si="6"/>
        <v>1</v>
      </c>
      <c r="S37" s="18">
        <f>MIN('execs Table 7'!C27,'execs Table 7'!E27,'execs Table 7'!G27,'execs Table 7'!I27,'execs Table 7'!K27,'execs Table 7'!M27,'execs Table 7'!O27,'execs Table 7'!Q27,'execs Table 7'!S27,'execs Table 7'!U27)</f>
        <v>66</v>
      </c>
      <c r="T37" s="18">
        <f>SUM('execs Table 7'!D27,'execs Table 7'!F27,'execs Table 7'!H27,'execs Table 7'!J27,'execs Table 7'!L27,'execs Table 7'!N27,'execs Table 7'!P27,'execs Table 7'!R27,'execs Table 7'!T27,'execs Table 7'!V27)</f>
        <v>0.94600000232458115</v>
      </c>
      <c r="U37" s="3">
        <f t="shared" si="7"/>
        <v>0</v>
      </c>
      <c r="V37" s="1">
        <f t="shared" si="8"/>
        <v>1</v>
      </c>
      <c r="W37" s="18">
        <f>MIN('execs Table 7'!G27,'execs Table 7'!I27,'execs Table 7'!K27,'execs Table 7'!M27,'execs Table 7'!O27,'execs Table 7'!Q27,'execs Table 7'!S27,'execs Table 7'!U27,'execs Table 7'!W27,'execs Table 7'!Y27,'execs Table 7'!C27,'execs Table 7'!E27,'execs Table 7'!AA27,'execs Table 7'!AC27,'execs Table 7'!AE27,'execs Table 7'!AG27,'execs Table 7'!AI27,'execs Table 7'!AK27,'execs Table 7'!AM27,'execs Table 7'!AO27)</f>
        <v>66</v>
      </c>
      <c r="X37" s="18">
        <f>SUM('execs Table 7'!H27,'execs Table 7'!J27,'execs Table 7'!L27,'execs Table 7'!N27,'execs Table 7'!P27,'execs Table 7'!R27,'execs Table 7'!T27,'execs Table 7'!V27,'execs Table 7'!X27,'execs Table 7'!Z27,'execs Table 7'!D27,'execs Table 7'!F27,'execs Table 7'!AB27,'execs Table 7'!AD27,'execs Table 7'!AF27,'execs Table 7'!AH27,'execs Table 7'!AJ27,'execs Table 7'!AL27,'execs Table 7'!AN27,'execs Table 7'!AP27)</f>
        <v>1.8690000101923943</v>
      </c>
      <c r="Y37" s="3">
        <f t="shared" si="9"/>
        <v>0</v>
      </c>
      <c r="Z37" s="1">
        <f t="shared" si="10"/>
        <v>1</v>
      </c>
      <c r="AG37" s="9"/>
      <c r="AH37" s="2"/>
      <c r="AK37" s="9"/>
      <c r="AL37" s="2"/>
      <c r="AO37" s="9"/>
      <c r="AP37" s="2"/>
      <c r="AR37" s="2">
        <f t="shared" si="11"/>
        <v>66</v>
      </c>
    </row>
    <row r="38" spans="2:44" ht="16" x14ac:dyDescent="0.2">
      <c r="B38" s="18" t="s">
        <v>57</v>
      </c>
      <c r="C38" s="18">
        <v>12</v>
      </c>
      <c r="D38" s="37" t="s">
        <v>235</v>
      </c>
      <c r="E38" s="3">
        <f t="shared" si="2"/>
        <v>0</v>
      </c>
      <c r="F38" s="1">
        <f t="shared" si="3"/>
        <v>1</v>
      </c>
      <c r="G38" s="18">
        <v>12</v>
      </c>
      <c r="H38" s="37" t="s">
        <v>235</v>
      </c>
      <c r="I38" s="3">
        <f t="shared" si="0"/>
        <v>0</v>
      </c>
      <c r="J38" s="1">
        <f t="shared" si="1"/>
        <v>1</v>
      </c>
      <c r="K38" s="18">
        <v>12</v>
      </c>
      <c r="L38" s="37" t="s">
        <v>235</v>
      </c>
      <c r="M38" s="3">
        <f t="shared" si="12"/>
        <v>0</v>
      </c>
      <c r="N38" s="1">
        <f t="shared" si="4"/>
        <v>1</v>
      </c>
      <c r="O38" s="18">
        <f>'execs Table 7'!C28</f>
        <v>12</v>
      </c>
      <c r="P38" s="18">
        <f>'execs Table 7'!D28</f>
        <v>3.0000000260770321E-3</v>
      </c>
      <c r="Q38" s="3">
        <f t="shared" si="5"/>
        <v>0</v>
      </c>
      <c r="R38" s="1">
        <f t="shared" si="6"/>
        <v>1</v>
      </c>
      <c r="S38" s="18">
        <f>MIN('execs Table 7'!C28,'execs Table 7'!E28,'execs Table 7'!G28,'execs Table 7'!I28,'execs Table 7'!K28,'execs Table 7'!M28,'execs Table 7'!O28,'execs Table 7'!Q28,'execs Table 7'!S28,'execs Table 7'!U28)</f>
        <v>12</v>
      </c>
      <c r="T38" s="18">
        <f>SUM('execs Table 7'!D28,'execs Table 7'!F28,'execs Table 7'!H28,'execs Table 7'!J28,'execs Table 7'!L28,'execs Table 7'!N28,'execs Table 7'!P28,'execs Table 7'!R28,'execs Table 7'!T28,'execs Table 7'!V28)</f>
        <v>3.7000001408159733E-2</v>
      </c>
      <c r="U38" s="3">
        <f t="shared" si="7"/>
        <v>0</v>
      </c>
      <c r="V38" s="1">
        <f t="shared" si="8"/>
        <v>1</v>
      </c>
      <c r="W38" s="18">
        <f>MIN('execs Table 7'!G28,'execs Table 7'!I28,'execs Table 7'!K28,'execs Table 7'!M28,'execs Table 7'!O28,'execs Table 7'!Q28,'execs Table 7'!S28,'execs Table 7'!U28,'execs Table 7'!W28,'execs Table 7'!Y28,'execs Table 7'!C28,'execs Table 7'!E28,'execs Table 7'!AA28,'execs Table 7'!AC28,'execs Table 7'!AE28,'execs Table 7'!AG28,'execs Table 7'!AI28,'execs Table 7'!AK28,'execs Table 7'!AM28,'execs Table 7'!AO28)</f>
        <v>12</v>
      </c>
      <c r="X38" s="18">
        <f>SUM('execs Table 7'!H28,'execs Table 7'!J28,'execs Table 7'!L28,'execs Table 7'!N28,'execs Table 7'!P28,'execs Table 7'!R28,'execs Table 7'!T28,'execs Table 7'!V28,'execs Table 7'!X28,'execs Table 7'!Z28,'execs Table 7'!D28,'execs Table 7'!F28,'execs Table 7'!AB28,'execs Table 7'!AD28,'execs Table 7'!AF28,'execs Table 7'!AH28,'execs Table 7'!AJ28,'execs Table 7'!AL28,'execs Table 7'!AN28,'execs Table 7'!AP28)</f>
        <v>7.6000003144145012E-2</v>
      </c>
      <c r="Y38" s="3">
        <f t="shared" ref="Y38:Y101" si="13">(W38-$AR38)/$AR38</f>
        <v>0</v>
      </c>
      <c r="Z38" s="1">
        <f t="shared" ref="Z38:Z101" si="14">IF(W38=$AR38,1,0)</f>
        <v>1</v>
      </c>
      <c r="AR38" s="2">
        <f t="shared" si="11"/>
        <v>12</v>
      </c>
    </row>
    <row r="39" spans="2:44" ht="16" x14ac:dyDescent="0.2">
      <c r="B39" s="18" t="s">
        <v>61</v>
      </c>
      <c r="C39" s="18">
        <v>18</v>
      </c>
      <c r="D39" s="37" t="s">
        <v>235</v>
      </c>
      <c r="E39" s="3">
        <f t="shared" si="2"/>
        <v>0</v>
      </c>
      <c r="F39" s="1">
        <f t="shared" si="3"/>
        <v>1</v>
      </c>
      <c r="G39" s="18">
        <v>18</v>
      </c>
      <c r="H39" s="37" t="s">
        <v>235</v>
      </c>
      <c r="I39" s="3">
        <f t="shared" si="0"/>
        <v>0</v>
      </c>
      <c r="J39" s="1">
        <f t="shared" si="1"/>
        <v>1</v>
      </c>
      <c r="K39" s="18">
        <v>18</v>
      </c>
      <c r="L39" s="37" t="s">
        <v>235</v>
      </c>
      <c r="M39" s="3">
        <f t="shared" si="12"/>
        <v>0</v>
      </c>
      <c r="N39" s="1">
        <f t="shared" si="4"/>
        <v>1</v>
      </c>
      <c r="O39" s="18">
        <f>'execs Table 7'!C29</f>
        <v>18</v>
      </c>
      <c r="P39" s="18">
        <f>'execs Table 7'!D29</f>
        <v>1.3000000268220901E-2</v>
      </c>
      <c r="Q39" s="3">
        <f t="shared" si="5"/>
        <v>0</v>
      </c>
      <c r="R39" s="1">
        <f t="shared" si="6"/>
        <v>1</v>
      </c>
      <c r="S39" s="18">
        <f>MIN('execs Table 7'!C29,'execs Table 7'!E29,'execs Table 7'!G29,'execs Table 7'!I29,'execs Table 7'!K29,'execs Table 7'!M29,'execs Table 7'!O29,'execs Table 7'!Q29,'execs Table 7'!S29,'execs Table 7'!U29)</f>
        <v>18</v>
      </c>
      <c r="T39" s="18">
        <f>SUM('execs Table 7'!D29,'execs Table 7'!F29,'execs Table 7'!H29,'execs Table 7'!J29,'execs Table 7'!L29,'execs Table 7'!N29,'execs Table 7'!P29,'execs Table 7'!R29,'execs Table 7'!T29,'execs Table 7'!V29)</f>
        <v>0.12900000251829624</v>
      </c>
      <c r="U39" s="3">
        <f t="shared" si="7"/>
        <v>0</v>
      </c>
      <c r="V39" s="1">
        <f t="shared" si="8"/>
        <v>1</v>
      </c>
      <c r="W39" s="18">
        <f>MIN('execs Table 7'!G29,'execs Table 7'!I29,'execs Table 7'!K29,'execs Table 7'!M29,'execs Table 7'!O29,'execs Table 7'!Q29,'execs Table 7'!S29,'execs Table 7'!U29,'execs Table 7'!W29,'execs Table 7'!Y29,'execs Table 7'!C29,'execs Table 7'!E29,'execs Table 7'!AA29,'execs Table 7'!AC29,'execs Table 7'!AE29,'execs Table 7'!AG29,'execs Table 7'!AI29,'execs Table 7'!AK29,'execs Table 7'!AM29,'execs Table 7'!AO29)</f>
        <v>18</v>
      </c>
      <c r="X39" s="18">
        <f>SUM('execs Table 7'!H29,'execs Table 7'!J29,'execs Table 7'!L29,'execs Table 7'!N29,'execs Table 7'!P29,'execs Table 7'!R29,'execs Table 7'!T29,'execs Table 7'!V29,'execs Table 7'!X29,'execs Table 7'!Z29,'execs Table 7'!D29,'execs Table 7'!F29,'execs Table 7'!AB29,'execs Table 7'!AD29,'execs Table 7'!AF29,'execs Table 7'!AH29,'execs Table 7'!AJ29,'execs Table 7'!AL29,'execs Table 7'!AN29,'execs Table 7'!AP29)</f>
        <v>0.2610000055283308</v>
      </c>
      <c r="Y39" s="3">
        <f t="shared" si="13"/>
        <v>0</v>
      </c>
      <c r="Z39" s="1">
        <f t="shared" si="14"/>
        <v>1</v>
      </c>
      <c r="AR39" s="2">
        <f t="shared" si="11"/>
        <v>18</v>
      </c>
    </row>
    <row r="40" spans="2:44" ht="16" x14ac:dyDescent="0.2">
      <c r="B40" s="18" t="s">
        <v>62</v>
      </c>
      <c r="C40" s="18">
        <v>46</v>
      </c>
      <c r="D40" s="37" t="s">
        <v>235</v>
      </c>
      <c r="E40" s="3">
        <f t="shared" si="2"/>
        <v>2.2222222222222223E-2</v>
      </c>
      <c r="F40" s="1">
        <f t="shared" si="3"/>
        <v>0</v>
      </c>
      <c r="G40" s="18">
        <v>45</v>
      </c>
      <c r="H40" s="37" t="s">
        <v>235</v>
      </c>
      <c r="I40" s="3">
        <f t="shared" si="0"/>
        <v>0</v>
      </c>
      <c r="J40" s="1">
        <f t="shared" si="1"/>
        <v>1</v>
      </c>
      <c r="K40" s="18">
        <v>45</v>
      </c>
      <c r="L40" s="37" t="s">
        <v>235</v>
      </c>
      <c r="M40" s="3">
        <f t="shared" si="12"/>
        <v>0</v>
      </c>
      <c r="N40" s="1">
        <f t="shared" si="4"/>
        <v>1</v>
      </c>
      <c r="O40" s="18">
        <f>'execs Table 7'!C30</f>
        <v>46</v>
      </c>
      <c r="P40" s="18">
        <f>'execs Table 7'!D30</f>
        <v>8.0000003799796104E-3</v>
      </c>
      <c r="Q40" s="3">
        <f t="shared" si="5"/>
        <v>2.2222222222222223E-2</v>
      </c>
      <c r="R40" s="1">
        <f t="shared" si="6"/>
        <v>0</v>
      </c>
      <c r="S40" s="18">
        <f>MIN('execs Table 7'!C30,'execs Table 7'!E30,'execs Table 7'!G30,'execs Table 7'!I30,'execs Table 7'!K30,'execs Table 7'!M30,'execs Table 7'!O30,'execs Table 7'!Q30,'execs Table 7'!S30,'execs Table 7'!U30)</f>
        <v>45</v>
      </c>
      <c r="T40" s="18">
        <f>SUM('execs Table 7'!D30,'execs Table 7'!F30,'execs Table 7'!H30,'execs Table 7'!J30,'execs Table 7'!L30,'execs Table 7'!N30,'execs Table 7'!P30,'execs Table 7'!R30,'execs Table 7'!T30,'execs Table 7'!V30)</f>
        <v>0.10500000137835741</v>
      </c>
      <c r="U40" s="3">
        <f t="shared" si="7"/>
        <v>0</v>
      </c>
      <c r="V40" s="1">
        <f t="shared" si="8"/>
        <v>1</v>
      </c>
      <c r="W40" s="18">
        <f>MIN('execs Table 7'!G30,'execs Table 7'!I30,'execs Table 7'!K30,'execs Table 7'!M30,'execs Table 7'!O30,'execs Table 7'!Q30,'execs Table 7'!S30,'execs Table 7'!U30,'execs Table 7'!W30,'execs Table 7'!Y30,'execs Table 7'!C30,'execs Table 7'!E30,'execs Table 7'!AA30,'execs Table 7'!AC30,'execs Table 7'!AE30,'execs Table 7'!AG30,'execs Table 7'!AI30,'execs Table 7'!AK30,'execs Table 7'!AM30,'execs Table 7'!AO30)</f>
        <v>45</v>
      </c>
      <c r="X40" s="18">
        <f>SUM('execs Table 7'!H30,'execs Table 7'!J30,'execs Table 7'!L30,'execs Table 7'!N30,'execs Table 7'!P30,'execs Table 7'!R30,'execs Table 7'!T30,'execs Table 7'!V30,'execs Table 7'!X30,'execs Table 7'!Z30,'execs Table 7'!D30,'execs Table 7'!F30,'execs Table 7'!AB30,'execs Table 7'!AD30,'execs Table 7'!AF30,'execs Table 7'!AH30,'execs Table 7'!AJ30,'execs Table 7'!AL30,'execs Table 7'!AN30,'execs Table 7'!AP30)</f>
        <v>0.21100000012665987</v>
      </c>
      <c r="Y40" s="3">
        <f t="shared" si="13"/>
        <v>0</v>
      </c>
      <c r="Z40" s="1">
        <f t="shared" si="14"/>
        <v>1</v>
      </c>
      <c r="AR40" s="2">
        <f t="shared" si="11"/>
        <v>45</v>
      </c>
    </row>
    <row r="41" spans="2:44" ht="16" x14ac:dyDescent="0.2">
      <c r="B41" s="18" t="s">
        <v>63</v>
      </c>
      <c r="C41" s="18">
        <v>27</v>
      </c>
      <c r="D41" s="37" t="s">
        <v>235</v>
      </c>
      <c r="E41" s="3">
        <f t="shared" si="2"/>
        <v>3.8461538461538464E-2</v>
      </c>
      <c r="F41" s="1">
        <f t="shared" si="3"/>
        <v>0</v>
      </c>
      <c r="G41" s="18">
        <v>27</v>
      </c>
      <c r="H41" s="37" t="s">
        <v>235</v>
      </c>
      <c r="I41" s="3">
        <f t="shared" si="0"/>
        <v>3.8461538461538464E-2</v>
      </c>
      <c r="J41" s="1">
        <f t="shared" si="1"/>
        <v>0</v>
      </c>
      <c r="K41" s="18">
        <v>27</v>
      </c>
      <c r="L41" s="37" t="s">
        <v>235</v>
      </c>
      <c r="M41" s="3">
        <f t="shared" si="12"/>
        <v>3.8461538461538464E-2</v>
      </c>
      <c r="N41" s="1">
        <f t="shared" si="4"/>
        <v>0</v>
      </c>
      <c r="O41" s="18">
        <f>'execs Table 7'!C31</f>
        <v>26</v>
      </c>
      <c r="P41" s="18">
        <f>'execs Table 7'!D31</f>
        <v>6.5780000686645508</v>
      </c>
      <c r="Q41" s="3">
        <f t="shared" si="5"/>
        <v>0</v>
      </c>
      <c r="R41" s="1">
        <f t="shared" si="6"/>
        <v>1</v>
      </c>
      <c r="S41" s="18">
        <f>MIN('execs Table 7'!C31,'execs Table 7'!E31,'execs Table 7'!G31,'execs Table 7'!I31,'execs Table 7'!K31,'execs Table 7'!M31,'execs Table 7'!O31,'execs Table 7'!Q31,'execs Table 7'!S31,'execs Table 7'!U31)</f>
        <v>26</v>
      </c>
      <c r="T41" s="18">
        <f>SUM('execs Table 7'!D31,'execs Table 7'!F31,'execs Table 7'!H31,'execs Table 7'!J31,'execs Table 7'!L31,'execs Table 7'!N31,'execs Table 7'!P31,'execs Table 7'!R31,'execs Table 7'!T31,'execs Table 7'!V31)</f>
        <v>61.052000522613525</v>
      </c>
      <c r="U41" s="3">
        <f t="shared" si="7"/>
        <v>0</v>
      </c>
      <c r="V41" s="1">
        <f t="shared" si="8"/>
        <v>1</v>
      </c>
      <c r="W41" s="18">
        <f>MIN('execs Table 7'!G31,'execs Table 7'!I31,'execs Table 7'!K31,'execs Table 7'!M31,'execs Table 7'!O31,'execs Table 7'!Q31,'execs Table 7'!S31,'execs Table 7'!U31,'execs Table 7'!W31,'execs Table 7'!Y31,'execs Table 7'!C31,'execs Table 7'!E31,'execs Table 7'!AA31,'execs Table 7'!AC31,'execs Table 7'!AE31,'execs Table 7'!AG31,'execs Table 7'!AI31,'execs Table 7'!AK31,'execs Table 7'!AM31,'execs Table 7'!AO31)</f>
        <v>26</v>
      </c>
      <c r="X41" s="18">
        <f>SUM('execs Table 7'!H31,'execs Table 7'!J31,'execs Table 7'!L31,'execs Table 7'!N31,'execs Table 7'!P31,'execs Table 7'!R31,'execs Table 7'!T31,'execs Table 7'!V31,'execs Table 7'!X31,'execs Table 7'!Z31,'execs Table 7'!D31,'execs Table 7'!F31,'execs Table 7'!AB31,'execs Table 7'!AD31,'execs Table 7'!AF31,'execs Table 7'!AH31,'execs Table 7'!AJ31,'execs Table 7'!AL31,'execs Table 7'!AN31,'execs Table 7'!AP31)</f>
        <v>117.96900081634521</v>
      </c>
      <c r="Y41" s="3">
        <f t="shared" si="13"/>
        <v>0</v>
      </c>
      <c r="Z41" s="1">
        <f t="shared" si="14"/>
        <v>1</v>
      </c>
      <c r="AR41" s="2">
        <f t="shared" si="11"/>
        <v>26</v>
      </c>
    </row>
    <row r="42" spans="2:44" ht="16" x14ac:dyDescent="0.2">
      <c r="B42" s="18" t="s">
        <v>64</v>
      </c>
      <c r="C42" s="18">
        <v>27</v>
      </c>
      <c r="D42" s="37" t="s">
        <v>235</v>
      </c>
      <c r="E42" s="3">
        <f t="shared" si="2"/>
        <v>3.8461538461538464E-2</v>
      </c>
      <c r="F42" s="1">
        <f t="shared" si="3"/>
        <v>0</v>
      </c>
      <c r="G42" s="18">
        <v>27</v>
      </c>
      <c r="H42" s="37" t="s">
        <v>235</v>
      </c>
      <c r="I42" s="3">
        <f t="shared" si="0"/>
        <v>3.8461538461538464E-2</v>
      </c>
      <c r="J42" s="1">
        <f t="shared" si="1"/>
        <v>0</v>
      </c>
      <c r="K42" s="18">
        <v>27</v>
      </c>
      <c r="L42" s="37" t="s">
        <v>235</v>
      </c>
      <c r="M42" s="3">
        <f t="shared" si="12"/>
        <v>3.8461538461538464E-2</v>
      </c>
      <c r="N42" s="1">
        <f t="shared" si="4"/>
        <v>0</v>
      </c>
      <c r="O42" s="18">
        <f>'execs Table 7'!C32</f>
        <v>26</v>
      </c>
      <c r="P42" s="18">
        <f>'execs Table 7'!D32</f>
        <v>7.3309998512268066</v>
      </c>
      <c r="Q42" s="3">
        <f t="shared" si="5"/>
        <v>0</v>
      </c>
      <c r="R42" s="1">
        <f t="shared" si="6"/>
        <v>1</v>
      </c>
      <c r="S42" s="18">
        <f>MIN('execs Table 7'!C32,'execs Table 7'!E32,'execs Table 7'!G32,'execs Table 7'!I32,'execs Table 7'!K32,'execs Table 7'!M32,'execs Table 7'!O32,'execs Table 7'!Q32,'execs Table 7'!S32,'execs Table 7'!U32)</f>
        <v>26</v>
      </c>
      <c r="T42" s="18">
        <f>SUM('execs Table 7'!D32,'execs Table 7'!F32,'execs Table 7'!H32,'execs Table 7'!J32,'execs Table 7'!L32,'execs Table 7'!N32,'execs Table 7'!P32,'execs Table 7'!R32,'execs Table 7'!T32,'execs Table 7'!V32)</f>
        <v>70.804999828338623</v>
      </c>
      <c r="U42" s="3">
        <f t="shared" si="7"/>
        <v>0</v>
      </c>
      <c r="V42" s="1">
        <f t="shared" si="8"/>
        <v>1</v>
      </c>
      <c r="W42" s="18">
        <f>MIN('execs Table 7'!G32,'execs Table 7'!I32,'execs Table 7'!K32,'execs Table 7'!M32,'execs Table 7'!O32,'execs Table 7'!Q32,'execs Table 7'!S32,'execs Table 7'!U32,'execs Table 7'!W32,'execs Table 7'!Y32,'execs Table 7'!C32,'execs Table 7'!E32,'execs Table 7'!AA32,'execs Table 7'!AC32,'execs Table 7'!AE32,'execs Table 7'!AG32,'execs Table 7'!AI32,'execs Table 7'!AK32,'execs Table 7'!AM32,'execs Table 7'!AO32)</f>
        <v>26</v>
      </c>
      <c r="X42" s="18">
        <f>SUM('execs Table 7'!H32,'execs Table 7'!J32,'execs Table 7'!L32,'execs Table 7'!N32,'execs Table 7'!P32,'execs Table 7'!R32,'execs Table 7'!T32,'execs Table 7'!V32,'execs Table 7'!X32,'execs Table 7'!Z32,'execs Table 7'!D32,'execs Table 7'!F32,'execs Table 7'!AB32,'execs Table 7'!AD32,'execs Table 7'!AF32,'execs Table 7'!AH32,'execs Table 7'!AJ32,'execs Table 7'!AL32,'execs Table 7'!AN32,'execs Table 7'!AP32)</f>
        <v>134.79200077056885</v>
      </c>
      <c r="Y42" s="3">
        <f t="shared" si="13"/>
        <v>0</v>
      </c>
      <c r="Z42" s="1">
        <f t="shared" si="14"/>
        <v>1</v>
      </c>
      <c r="AR42" s="2">
        <f t="shared" si="11"/>
        <v>26</v>
      </c>
    </row>
    <row r="43" spans="2:44" ht="16" x14ac:dyDescent="0.2">
      <c r="B43" s="18" t="s">
        <v>65</v>
      </c>
      <c r="C43" s="18">
        <v>27</v>
      </c>
      <c r="D43" s="37" t="s">
        <v>235</v>
      </c>
      <c r="E43" s="3">
        <f t="shared" si="2"/>
        <v>3.8461538461538464E-2</v>
      </c>
      <c r="F43" s="1">
        <f t="shared" si="3"/>
        <v>0</v>
      </c>
      <c r="G43" s="18">
        <v>27</v>
      </c>
      <c r="H43" s="37" t="s">
        <v>235</v>
      </c>
      <c r="I43" s="3">
        <f t="shared" si="0"/>
        <v>3.8461538461538464E-2</v>
      </c>
      <c r="J43" s="1">
        <f t="shared" si="1"/>
        <v>0</v>
      </c>
      <c r="K43" s="18">
        <v>27</v>
      </c>
      <c r="L43" s="37" t="s">
        <v>235</v>
      </c>
      <c r="M43" s="3">
        <f t="shared" si="12"/>
        <v>3.8461538461538464E-2</v>
      </c>
      <c r="N43" s="1">
        <f t="shared" si="4"/>
        <v>0</v>
      </c>
      <c r="O43" s="18">
        <f>'execs Table 7'!C33</f>
        <v>26</v>
      </c>
      <c r="P43" s="18">
        <f>'execs Table 7'!D33</f>
        <v>6.5180001258850098</v>
      </c>
      <c r="Q43" s="3">
        <f t="shared" si="5"/>
        <v>0</v>
      </c>
      <c r="R43" s="1">
        <f t="shared" si="6"/>
        <v>1</v>
      </c>
      <c r="S43" s="18">
        <f>MIN('execs Table 7'!C33,'execs Table 7'!E33,'execs Table 7'!G33,'execs Table 7'!I33,'execs Table 7'!K33,'execs Table 7'!M33,'execs Table 7'!O33,'execs Table 7'!Q33,'execs Table 7'!S33,'execs Table 7'!U33)</f>
        <v>26</v>
      </c>
      <c r="T43" s="18">
        <f>SUM('execs Table 7'!D33,'execs Table 7'!F33,'execs Table 7'!H33,'execs Table 7'!J33,'execs Table 7'!L33,'execs Table 7'!N33,'execs Table 7'!P33,'execs Table 7'!R33,'execs Table 7'!T33,'execs Table 7'!V33)</f>
        <v>65.973999977111816</v>
      </c>
      <c r="U43" s="3">
        <f t="shared" si="7"/>
        <v>0</v>
      </c>
      <c r="V43" s="1">
        <f t="shared" si="8"/>
        <v>1</v>
      </c>
      <c r="W43" s="18">
        <f>MIN('execs Table 7'!G33,'execs Table 7'!I33,'execs Table 7'!K33,'execs Table 7'!M33,'execs Table 7'!O33,'execs Table 7'!Q33,'execs Table 7'!S33,'execs Table 7'!U33,'execs Table 7'!W33,'execs Table 7'!Y33,'execs Table 7'!C33,'execs Table 7'!E33,'execs Table 7'!AA33,'execs Table 7'!AC33,'execs Table 7'!AE33,'execs Table 7'!AG33,'execs Table 7'!AI33,'execs Table 7'!AK33,'execs Table 7'!AM33,'execs Table 7'!AO33)</f>
        <v>26</v>
      </c>
      <c r="X43" s="18">
        <f>SUM('execs Table 7'!H33,'execs Table 7'!J33,'execs Table 7'!L33,'execs Table 7'!N33,'execs Table 7'!P33,'execs Table 7'!R33,'execs Table 7'!T33,'execs Table 7'!V33,'execs Table 7'!X33,'execs Table 7'!Z33,'execs Table 7'!D33,'execs Table 7'!F33,'execs Table 7'!AB33,'execs Table 7'!AD33,'execs Table 7'!AF33,'execs Table 7'!AH33,'execs Table 7'!AJ33,'execs Table 7'!AL33,'execs Table 7'!AN33,'execs Table 7'!AP33)</f>
        <v>122.89599990844727</v>
      </c>
      <c r="Y43" s="3">
        <f t="shared" si="13"/>
        <v>0</v>
      </c>
      <c r="Z43" s="1">
        <f t="shared" si="14"/>
        <v>1</v>
      </c>
      <c r="AR43" s="2">
        <f t="shared" si="11"/>
        <v>26</v>
      </c>
    </row>
    <row r="44" spans="2:44" ht="16" x14ac:dyDescent="0.2">
      <c r="B44" s="18" t="s">
        <v>66</v>
      </c>
      <c r="C44" s="18">
        <v>27</v>
      </c>
      <c r="D44" s="37" t="s">
        <v>235</v>
      </c>
      <c r="E44" s="3">
        <f t="shared" ref="E44:E75" si="15">(C44-$AR44)/$AR44</f>
        <v>3.8461538461538464E-2</v>
      </c>
      <c r="F44" s="1">
        <f t="shared" si="3"/>
        <v>0</v>
      </c>
      <c r="G44" s="18">
        <v>27</v>
      </c>
      <c r="H44" s="37" t="s">
        <v>235</v>
      </c>
      <c r="I44" s="3">
        <f t="shared" si="0"/>
        <v>3.8461538461538464E-2</v>
      </c>
      <c r="J44" s="1">
        <f t="shared" si="1"/>
        <v>0</v>
      </c>
      <c r="K44" s="18">
        <v>27</v>
      </c>
      <c r="L44" s="37" t="s">
        <v>235</v>
      </c>
      <c r="M44" s="3">
        <f t="shared" si="12"/>
        <v>3.8461538461538464E-2</v>
      </c>
      <c r="N44" s="1">
        <f t="shared" si="4"/>
        <v>0</v>
      </c>
      <c r="O44" s="18">
        <f>'execs Table 7'!C34</f>
        <v>26</v>
      </c>
      <c r="P44" s="18">
        <f>'execs Table 7'!D34</f>
        <v>7.1680002212524414</v>
      </c>
      <c r="Q44" s="3">
        <f t="shared" si="5"/>
        <v>0</v>
      </c>
      <c r="R44" s="1">
        <f t="shared" si="6"/>
        <v>1</v>
      </c>
      <c r="S44" s="18">
        <f>MIN('execs Table 7'!C34,'execs Table 7'!E34,'execs Table 7'!G34,'execs Table 7'!I34,'execs Table 7'!K34,'execs Table 7'!M34,'execs Table 7'!O34,'execs Table 7'!Q34,'execs Table 7'!S34,'execs Table 7'!U34)</f>
        <v>26</v>
      </c>
      <c r="T44" s="18">
        <f>SUM('execs Table 7'!D34,'execs Table 7'!F34,'execs Table 7'!H34,'execs Table 7'!J34,'execs Table 7'!L34,'execs Table 7'!N34,'execs Table 7'!P34,'execs Table 7'!R34,'execs Table 7'!T34,'execs Table 7'!V34)</f>
        <v>64.546000957489014</v>
      </c>
      <c r="U44" s="3">
        <f t="shared" si="7"/>
        <v>0</v>
      </c>
      <c r="V44" s="1">
        <f t="shared" si="8"/>
        <v>1</v>
      </c>
      <c r="W44" s="18">
        <f>MIN('execs Table 7'!G34,'execs Table 7'!I34,'execs Table 7'!K34,'execs Table 7'!M34,'execs Table 7'!O34,'execs Table 7'!Q34,'execs Table 7'!S34,'execs Table 7'!U34,'execs Table 7'!W34,'execs Table 7'!Y34,'execs Table 7'!C34,'execs Table 7'!E34,'execs Table 7'!AA34,'execs Table 7'!AC34,'execs Table 7'!AE34,'execs Table 7'!AG34,'execs Table 7'!AI34,'execs Table 7'!AK34,'execs Table 7'!AM34,'execs Table 7'!AO34)</f>
        <v>26</v>
      </c>
      <c r="X44" s="18">
        <f>SUM('execs Table 7'!H34,'execs Table 7'!J34,'execs Table 7'!L34,'execs Table 7'!N34,'execs Table 7'!P34,'execs Table 7'!R34,'execs Table 7'!T34,'execs Table 7'!V34,'execs Table 7'!X34,'execs Table 7'!Z34,'execs Table 7'!D34,'execs Table 7'!F34,'execs Table 7'!AB34,'execs Table 7'!AD34,'execs Table 7'!AF34,'execs Table 7'!AH34,'execs Table 7'!AJ34,'execs Table 7'!AL34,'execs Table 7'!AN34,'execs Table 7'!AP34)</f>
        <v>128.47100114822388</v>
      </c>
      <c r="Y44" s="3">
        <f t="shared" si="13"/>
        <v>0</v>
      </c>
      <c r="Z44" s="1">
        <f t="shared" si="14"/>
        <v>1</v>
      </c>
      <c r="AR44" s="2">
        <f t="shared" si="11"/>
        <v>26</v>
      </c>
    </row>
    <row r="45" spans="2:44" ht="16" x14ac:dyDescent="0.2">
      <c r="B45" s="18" t="s">
        <v>67</v>
      </c>
      <c r="C45" s="18">
        <v>866</v>
      </c>
      <c r="D45" s="37" t="s">
        <v>235</v>
      </c>
      <c r="E45" s="3">
        <f t="shared" si="15"/>
        <v>0.87445887445887449</v>
      </c>
      <c r="F45" s="1">
        <f t="shared" si="3"/>
        <v>0</v>
      </c>
      <c r="G45" s="18">
        <v>828</v>
      </c>
      <c r="H45" s="37" t="s">
        <v>235</v>
      </c>
      <c r="I45" s="3">
        <f t="shared" si="0"/>
        <v>0.79220779220779225</v>
      </c>
      <c r="J45" s="1">
        <f t="shared" si="1"/>
        <v>0</v>
      </c>
      <c r="K45" s="18">
        <v>834</v>
      </c>
      <c r="L45" s="37" t="s">
        <v>235</v>
      </c>
      <c r="M45" s="3">
        <f t="shared" si="12"/>
        <v>0.80519480519480524</v>
      </c>
      <c r="N45" s="1">
        <f t="shared" si="4"/>
        <v>0</v>
      </c>
      <c r="O45" s="18">
        <f>'execs Table 7'!C35</f>
        <v>482</v>
      </c>
      <c r="P45" s="18">
        <f>'execs Table 7'!D35</f>
        <v>4.7740001678466797</v>
      </c>
      <c r="Q45" s="3">
        <f t="shared" si="5"/>
        <v>4.3290043290043288E-2</v>
      </c>
      <c r="R45" s="1">
        <f t="shared" si="6"/>
        <v>0</v>
      </c>
      <c r="S45" s="18">
        <f>MIN('execs Table 7'!C35,'execs Table 7'!E35,'execs Table 7'!G35,'execs Table 7'!I35,'execs Table 7'!K35,'execs Table 7'!M35,'execs Table 7'!O35,'execs Table 7'!Q35,'execs Table 7'!S35,'execs Table 7'!U35)</f>
        <v>462</v>
      </c>
      <c r="T45" s="18">
        <f>SUM('execs Table 7'!D35,'execs Table 7'!F35,'execs Table 7'!H35,'execs Table 7'!J35,'execs Table 7'!L35,'execs Table 7'!N35,'execs Table 7'!P35,'execs Table 7'!R35,'execs Table 7'!T35,'execs Table 7'!V35)</f>
        <v>44.622000694274902</v>
      </c>
      <c r="U45" s="3">
        <f t="shared" si="7"/>
        <v>0</v>
      </c>
      <c r="V45" s="1">
        <f t="shared" si="8"/>
        <v>1</v>
      </c>
      <c r="W45" s="18">
        <f>MIN('execs Table 7'!G35,'execs Table 7'!I35,'execs Table 7'!K35,'execs Table 7'!M35,'execs Table 7'!O35,'execs Table 7'!Q35,'execs Table 7'!S35,'execs Table 7'!U35,'execs Table 7'!W35,'execs Table 7'!Y35,'execs Table 7'!C35,'execs Table 7'!E35,'execs Table 7'!AA35,'execs Table 7'!AC35,'execs Table 7'!AE35,'execs Table 7'!AG35,'execs Table 7'!AI35,'execs Table 7'!AK35,'execs Table 7'!AM35,'execs Table 7'!AO35)</f>
        <v>462</v>
      </c>
      <c r="X45" s="18">
        <f>SUM('execs Table 7'!H35,'execs Table 7'!J35,'execs Table 7'!L35,'execs Table 7'!N35,'execs Table 7'!P35,'execs Table 7'!R35,'execs Table 7'!T35,'execs Table 7'!V35,'execs Table 7'!X35,'execs Table 7'!Z35,'execs Table 7'!D35,'execs Table 7'!F35,'execs Table 7'!AB35,'execs Table 7'!AD35,'execs Table 7'!AF35,'execs Table 7'!AH35,'execs Table 7'!AJ35,'execs Table 7'!AL35,'execs Table 7'!AN35,'execs Table 7'!AP35)</f>
        <v>85.355000495910645</v>
      </c>
      <c r="Y45" s="3">
        <f t="shared" si="13"/>
        <v>0</v>
      </c>
      <c r="Z45" s="1">
        <f t="shared" si="14"/>
        <v>1</v>
      </c>
      <c r="AR45" s="2">
        <f t="shared" si="11"/>
        <v>462</v>
      </c>
    </row>
    <row r="46" spans="2:44" ht="16" x14ac:dyDescent="0.2">
      <c r="B46" s="18" t="s">
        <v>68</v>
      </c>
      <c r="C46" s="18">
        <v>861</v>
      </c>
      <c r="D46" s="37" t="s">
        <v>235</v>
      </c>
      <c r="E46" s="3">
        <f t="shared" si="15"/>
        <v>0.86363636363636365</v>
      </c>
      <c r="F46" s="1">
        <f t="shared" si="3"/>
        <v>0</v>
      </c>
      <c r="G46" s="18">
        <v>828</v>
      </c>
      <c r="H46" s="37" t="s">
        <v>235</v>
      </c>
      <c r="I46" s="3">
        <f t="shared" si="0"/>
        <v>0.79220779220779225</v>
      </c>
      <c r="J46" s="1">
        <f t="shared" si="1"/>
        <v>0</v>
      </c>
      <c r="K46" s="18">
        <v>829</v>
      </c>
      <c r="L46" s="37" t="s">
        <v>235</v>
      </c>
      <c r="M46" s="3">
        <f t="shared" si="12"/>
        <v>0.7943722943722944</v>
      </c>
      <c r="N46" s="1">
        <f t="shared" si="4"/>
        <v>0</v>
      </c>
      <c r="O46" s="18">
        <f>'execs Table 7'!C36</f>
        <v>482</v>
      </c>
      <c r="P46" s="18">
        <f>'execs Table 7'!D36</f>
        <v>4.7849998474121094</v>
      </c>
      <c r="Q46" s="3">
        <f t="shared" si="5"/>
        <v>4.3290043290043288E-2</v>
      </c>
      <c r="R46" s="1">
        <f t="shared" si="6"/>
        <v>0</v>
      </c>
      <c r="S46" s="18">
        <f>MIN('execs Table 7'!C36,'execs Table 7'!E36,'execs Table 7'!G36,'execs Table 7'!I36,'execs Table 7'!K36,'execs Table 7'!M36,'execs Table 7'!O36,'execs Table 7'!Q36,'execs Table 7'!S36,'execs Table 7'!U36)</f>
        <v>462</v>
      </c>
      <c r="T46" s="18">
        <f>SUM('execs Table 7'!D36,'execs Table 7'!F36,'execs Table 7'!H36,'execs Table 7'!J36,'execs Table 7'!L36,'execs Table 7'!N36,'execs Table 7'!P36,'execs Table 7'!R36,'execs Table 7'!T36,'execs Table 7'!V36)</f>
        <v>44.61799955368042</v>
      </c>
      <c r="U46" s="3">
        <f t="shared" si="7"/>
        <v>0</v>
      </c>
      <c r="V46" s="1">
        <f t="shared" si="8"/>
        <v>1</v>
      </c>
      <c r="W46" s="18">
        <f>MIN('execs Table 7'!G36,'execs Table 7'!I36,'execs Table 7'!K36,'execs Table 7'!M36,'execs Table 7'!O36,'execs Table 7'!Q36,'execs Table 7'!S36,'execs Table 7'!U36,'execs Table 7'!W36,'execs Table 7'!Y36,'execs Table 7'!C36,'execs Table 7'!E36,'execs Table 7'!AA36,'execs Table 7'!AC36,'execs Table 7'!AE36,'execs Table 7'!AG36,'execs Table 7'!AI36,'execs Table 7'!AK36,'execs Table 7'!AM36,'execs Table 7'!AO36)</f>
        <v>462</v>
      </c>
      <c r="X46" s="18">
        <f>SUM('execs Table 7'!H36,'execs Table 7'!J36,'execs Table 7'!L36,'execs Table 7'!N36,'execs Table 7'!P36,'execs Table 7'!R36,'execs Table 7'!T36,'execs Table 7'!V36,'execs Table 7'!X36,'execs Table 7'!Z36,'execs Table 7'!D36,'execs Table 7'!F36,'execs Table 7'!AB36,'execs Table 7'!AD36,'execs Table 7'!AF36,'execs Table 7'!AH36,'execs Table 7'!AJ36,'execs Table 7'!AL36,'execs Table 7'!AN36,'execs Table 7'!AP36)</f>
        <v>85.318000078201294</v>
      </c>
      <c r="Y46" s="3">
        <f t="shared" si="13"/>
        <v>0</v>
      </c>
      <c r="Z46" s="1">
        <f t="shared" si="14"/>
        <v>1</v>
      </c>
      <c r="AR46" s="2">
        <f t="shared" si="11"/>
        <v>462</v>
      </c>
    </row>
    <row r="47" spans="2:44" ht="16" x14ac:dyDescent="0.2">
      <c r="B47" s="18" t="s">
        <v>69</v>
      </c>
      <c r="C47" s="18">
        <v>856</v>
      </c>
      <c r="D47" s="37" t="s">
        <v>235</v>
      </c>
      <c r="E47" s="3">
        <f t="shared" si="15"/>
        <v>0.8528138528138528</v>
      </c>
      <c r="F47" s="1">
        <f t="shared" si="3"/>
        <v>0</v>
      </c>
      <c r="G47" s="18">
        <v>834</v>
      </c>
      <c r="H47" s="37" t="s">
        <v>235</v>
      </c>
      <c r="I47" s="3">
        <f t="shared" si="0"/>
        <v>0.80519480519480524</v>
      </c>
      <c r="J47" s="1">
        <f t="shared" si="1"/>
        <v>0</v>
      </c>
      <c r="K47" s="18">
        <v>837</v>
      </c>
      <c r="L47" s="37" t="s">
        <v>235</v>
      </c>
      <c r="M47" s="3">
        <f t="shared" si="12"/>
        <v>0.81168831168831168</v>
      </c>
      <c r="N47" s="1">
        <f t="shared" si="4"/>
        <v>0</v>
      </c>
      <c r="O47" s="18">
        <f>'execs Table 7'!C37</f>
        <v>482</v>
      </c>
      <c r="P47" s="18">
        <f>'execs Table 7'!D37</f>
        <v>4.8229999542236328</v>
      </c>
      <c r="Q47" s="3">
        <f t="shared" si="5"/>
        <v>4.3290043290043288E-2</v>
      </c>
      <c r="R47" s="1">
        <f t="shared" si="6"/>
        <v>0</v>
      </c>
      <c r="S47" s="18">
        <f>MIN('execs Table 7'!C37,'execs Table 7'!E37,'execs Table 7'!G37,'execs Table 7'!I37,'execs Table 7'!K37,'execs Table 7'!M37,'execs Table 7'!O37,'execs Table 7'!Q37,'execs Table 7'!S37,'execs Table 7'!U37)</f>
        <v>462</v>
      </c>
      <c r="T47" s="18">
        <f>SUM('execs Table 7'!D37,'execs Table 7'!F37,'execs Table 7'!H37,'execs Table 7'!J37,'execs Table 7'!L37,'execs Table 7'!N37,'execs Table 7'!P37,'execs Table 7'!R37,'execs Table 7'!T37,'execs Table 7'!V37)</f>
        <v>44.63599967956543</v>
      </c>
      <c r="U47" s="3">
        <f t="shared" si="7"/>
        <v>0</v>
      </c>
      <c r="V47" s="1">
        <f t="shared" si="8"/>
        <v>1</v>
      </c>
      <c r="W47" s="18">
        <f>MIN('execs Table 7'!G37,'execs Table 7'!I37,'execs Table 7'!K37,'execs Table 7'!M37,'execs Table 7'!O37,'execs Table 7'!Q37,'execs Table 7'!S37,'execs Table 7'!U37,'execs Table 7'!W37,'execs Table 7'!Y37,'execs Table 7'!C37,'execs Table 7'!E37,'execs Table 7'!AA37,'execs Table 7'!AC37,'execs Table 7'!AE37,'execs Table 7'!AG37,'execs Table 7'!AI37,'execs Table 7'!AK37,'execs Table 7'!AM37,'execs Table 7'!AO37)</f>
        <v>462</v>
      </c>
      <c r="X47" s="18">
        <f>SUM('execs Table 7'!H37,'execs Table 7'!J37,'execs Table 7'!L37,'execs Table 7'!N37,'execs Table 7'!P37,'execs Table 7'!R37,'execs Table 7'!T37,'execs Table 7'!V37,'execs Table 7'!X37,'execs Table 7'!Z37,'execs Table 7'!D37,'execs Table 7'!F37,'execs Table 7'!AB37,'execs Table 7'!AD37,'execs Table 7'!AF37,'execs Table 7'!AH37,'execs Table 7'!AJ37,'execs Table 7'!AL37,'execs Table 7'!AN37,'execs Table 7'!AP37)</f>
        <v>85.354999542236328</v>
      </c>
      <c r="Y47" s="3">
        <f t="shared" si="13"/>
        <v>0</v>
      </c>
      <c r="Z47" s="1">
        <f t="shared" si="14"/>
        <v>1</v>
      </c>
      <c r="AR47" s="2">
        <f t="shared" si="11"/>
        <v>462</v>
      </c>
    </row>
    <row r="48" spans="2:44" ht="16" x14ac:dyDescent="0.2">
      <c r="B48" s="18" t="s">
        <v>70</v>
      </c>
      <c r="C48" s="18">
        <v>860</v>
      </c>
      <c r="D48" s="37" t="s">
        <v>235</v>
      </c>
      <c r="E48" s="3">
        <f t="shared" si="15"/>
        <v>0.8614718614718615</v>
      </c>
      <c r="F48" s="1">
        <f t="shared" si="3"/>
        <v>0</v>
      </c>
      <c r="G48" s="18">
        <v>845</v>
      </c>
      <c r="H48" s="37" t="s">
        <v>235</v>
      </c>
      <c r="I48" s="3">
        <f t="shared" si="0"/>
        <v>0.82900432900432897</v>
      </c>
      <c r="J48" s="1">
        <f t="shared" si="1"/>
        <v>0</v>
      </c>
      <c r="K48" s="18">
        <v>833</v>
      </c>
      <c r="L48" s="37" t="s">
        <v>235</v>
      </c>
      <c r="M48" s="3">
        <f t="shared" si="12"/>
        <v>0.80303030303030298</v>
      </c>
      <c r="N48" s="1">
        <f t="shared" si="4"/>
        <v>0</v>
      </c>
      <c r="O48" s="18">
        <f>'execs Table 7'!C38</f>
        <v>482</v>
      </c>
      <c r="P48" s="18">
        <f>'execs Table 7'!D38</f>
        <v>4.7940001487731934</v>
      </c>
      <c r="Q48" s="3">
        <f t="shared" si="5"/>
        <v>4.3290043290043288E-2</v>
      </c>
      <c r="R48" s="1">
        <f t="shared" si="6"/>
        <v>0</v>
      </c>
      <c r="S48" s="18">
        <f>MIN('execs Table 7'!C38,'execs Table 7'!E38,'execs Table 7'!G38,'execs Table 7'!I38,'execs Table 7'!K38,'execs Table 7'!M38,'execs Table 7'!O38,'execs Table 7'!Q38,'execs Table 7'!S38,'execs Table 7'!U38)</f>
        <v>462</v>
      </c>
      <c r="T48" s="18">
        <f>SUM('execs Table 7'!D38,'execs Table 7'!F38,'execs Table 7'!H38,'execs Table 7'!J38,'execs Table 7'!L38,'execs Table 7'!N38,'execs Table 7'!P38,'execs Table 7'!R38,'execs Table 7'!T38,'execs Table 7'!V38)</f>
        <v>44.695999622344971</v>
      </c>
      <c r="U48" s="3">
        <f t="shared" si="7"/>
        <v>0</v>
      </c>
      <c r="V48" s="1">
        <f t="shared" si="8"/>
        <v>1</v>
      </c>
      <c r="W48" s="18">
        <f>MIN('execs Table 7'!G38,'execs Table 7'!I38,'execs Table 7'!K38,'execs Table 7'!M38,'execs Table 7'!O38,'execs Table 7'!Q38,'execs Table 7'!S38,'execs Table 7'!U38,'execs Table 7'!W38,'execs Table 7'!Y38,'execs Table 7'!C38,'execs Table 7'!E38,'execs Table 7'!AA38,'execs Table 7'!AC38,'execs Table 7'!AE38,'execs Table 7'!AG38,'execs Table 7'!AI38,'execs Table 7'!AK38,'execs Table 7'!AM38,'execs Table 7'!AO38)</f>
        <v>462</v>
      </c>
      <c r="X48" s="18">
        <f>SUM('execs Table 7'!H38,'execs Table 7'!J38,'execs Table 7'!L38,'execs Table 7'!N38,'execs Table 7'!P38,'execs Table 7'!R38,'execs Table 7'!T38,'execs Table 7'!V38,'execs Table 7'!X38,'execs Table 7'!Z38,'execs Table 7'!D38,'execs Table 7'!F38,'execs Table 7'!AB38,'execs Table 7'!AD38,'execs Table 7'!AF38,'execs Table 7'!AH38,'execs Table 7'!AJ38,'execs Table 7'!AL38,'execs Table 7'!AN38,'execs Table 7'!AP38)</f>
        <v>85.48799991607666</v>
      </c>
      <c r="Y48" s="3">
        <f t="shared" si="13"/>
        <v>0</v>
      </c>
      <c r="Z48" s="1">
        <f t="shared" si="14"/>
        <v>1</v>
      </c>
      <c r="AR48" s="2">
        <f t="shared" si="11"/>
        <v>462</v>
      </c>
    </row>
    <row r="49" spans="2:44" ht="16" x14ac:dyDescent="0.2">
      <c r="B49" s="18" t="s">
        <v>71</v>
      </c>
      <c r="C49" s="18">
        <v>862</v>
      </c>
      <c r="D49" s="37" t="s">
        <v>235</v>
      </c>
      <c r="E49" s="3">
        <f t="shared" si="15"/>
        <v>0.86580086580086579</v>
      </c>
      <c r="F49" s="1">
        <f t="shared" si="3"/>
        <v>0</v>
      </c>
      <c r="G49" s="18">
        <v>842</v>
      </c>
      <c r="H49" s="37" t="s">
        <v>235</v>
      </c>
      <c r="I49" s="3">
        <f t="shared" si="0"/>
        <v>0.82251082251082253</v>
      </c>
      <c r="J49" s="1">
        <f t="shared" si="1"/>
        <v>0</v>
      </c>
      <c r="K49" s="18">
        <v>841</v>
      </c>
      <c r="L49" s="37" t="s">
        <v>235</v>
      </c>
      <c r="M49" s="3">
        <f t="shared" si="12"/>
        <v>0.82034632034632038</v>
      </c>
      <c r="N49" s="1">
        <f t="shared" si="4"/>
        <v>0</v>
      </c>
      <c r="O49" s="18">
        <f>'execs Table 7'!C39</f>
        <v>482</v>
      </c>
      <c r="P49" s="18">
        <f>'execs Table 7'!D39</f>
        <v>4.7670001983642578</v>
      </c>
      <c r="Q49" s="3">
        <f t="shared" si="5"/>
        <v>4.3290043290043288E-2</v>
      </c>
      <c r="R49" s="1">
        <f t="shared" si="6"/>
        <v>0</v>
      </c>
      <c r="S49" s="18">
        <f>MIN('execs Table 7'!C39,'execs Table 7'!E39,'execs Table 7'!G39,'execs Table 7'!I39,'execs Table 7'!K39,'execs Table 7'!M39,'execs Table 7'!O39,'execs Table 7'!Q39,'execs Table 7'!S39,'execs Table 7'!U39)</f>
        <v>462</v>
      </c>
      <c r="T49" s="18">
        <f>SUM('execs Table 7'!D39,'execs Table 7'!F39,'execs Table 7'!H39,'execs Table 7'!J39,'execs Table 7'!L39,'execs Table 7'!N39,'execs Table 7'!P39,'execs Table 7'!R39,'execs Table 7'!T39,'execs Table 7'!V39)</f>
        <v>44.555999755859375</v>
      </c>
      <c r="U49" s="3">
        <f t="shared" si="7"/>
        <v>0</v>
      </c>
      <c r="V49" s="1">
        <f t="shared" si="8"/>
        <v>1</v>
      </c>
      <c r="W49" s="18">
        <f>MIN('execs Table 7'!G39,'execs Table 7'!I39,'execs Table 7'!K39,'execs Table 7'!M39,'execs Table 7'!O39,'execs Table 7'!Q39,'execs Table 7'!S39,'execs Table 7'!U39,'execs Table 7'!W39,'execs Table 7'!Y39,'execs Table 7'!C39,'execs Table 7'!E39,'execs Table 7'!AA39,'execs Table 7'!AC39,'execs Table 7'!AE39,'execs Table 7'!AG39,'execs Table 7'!AI39,'execs Table 7'!AK39,'execs Table 7'!AM39,'execs Table 7'!AO39)</f>
        <v>462</v>
      </c>
      <c r="X49" s="18">
        <f>SUM('execs Table 7'!H39,'execs Table 7'!J39,'execs Table 7'!L39,'execs Table 7'!N39,'execs Table 7'!P39,'execs Table 7'!R39,'execs Table 7'!T39,'execs Table 7'!V39,'execs Table 7'!X39,'execs Table 7'!Z39,'execs Table 7'!D39,'execs Table 7'!F39,'execs Table 7'!AB39,'execs Table 7'!AD39,'execs Table 7'!AF39,'execs Table 7'!AH39,'execs Table 7'!AJ39,'execs Table 7'!AL39,'execs Table 7'!AN39,'execs Table 7'!AP39)</f>
        <v>85.223999738693237</v>
      </c>
      <c r="Y49" s="3">
        <f t="shared" si="13"/>
        <v>0</v>
      </c>
      <c r="Z49" s="1">
        <f t="shared" si="14"/>
        <v>1</v>
      </c>
      <c r="AR49" s="2">
        <f t="shared" si="11"/>
        <v>462</v>
      </c>
    </row>
    <row r="50" spans="2:44" ht="16" x14ac:dyDescent="0.2">
      <c r="B50" s="18" t="s">
        <v>72</v>
      </c>
      <c r="C50" s="18">
        <v>872</v>
      </c>
      <c r="D50" s="37" t="s">
        <v>235</v>
      </c>
      <c r="E50" s="3">
        <f t="shared" si="15"/>
        <v>0.88744588744588748</v>
      </c>
      <c r="F50" s="1">
        <f t="shared" si="3"/>
        <v>0</v>
      </c>
      <c r="G50" s="18">
        <v>840</v>
      </c>
      <c r="H50" s="37" t="s">
        <v>235</v>
      </c>
      <c r="I50" s="3">
        <f t="shared" si="0"/>
        <v>0.81818181818181823</v>
      </c>
      <c r="J50" s="1">
        <f t="shared" si="1"/>
        <v>0</v>
      </c>
      <c r="K50" s="18">
        <v>834</v>
      </c>
      <c r="L50" s="37" t="s">
        <v>235</v>
      </c>
      <c r="M50" s="3">
        <f t="shared" si="12"/>
        <v>0.80519480519480524</v>
      </c>
      <c r="N50" s="1">
        <f t="shared" si="4"/>
        <v>0</v>
      </c>
      <c r="O50" s="18">
        <f>'execs Table 7'!C40</f>
        <v>482</v>
      </c>
      <c r="P50" s="18">
        <f>'execs Table 7'!D40</f>
        <v>4.814000129699707</v>
      </c>
      <c r="Q50" s="3">
        <f t="shared" si="5"/>
        <v>4.3290043290043288E-2</v>
      </c>
      <c r="R50" s="1">
        <f t="shared" si="6"/>
        <v>0</v>
      </c>
      <c r="S50" s="18">
        <f>MIN('execs Table 7'!C40,'execs Table 7'!E40,'execs Table 7'!G40,'execs Table 7'!I40,'execs Table 7'!K40,'execs Table 7'!M40,'execs Table 7'!O40,'execs Table 7'!Q40,'execs Table 7'!S40,'execs Table 7'!U40)</f>
        <v>462</v>
      </c>
      <c r="T50" s="18">
        <f>SUM('execs Table 7'!D40,'execs Table 7'!F40,'execs Table 7'!H40,'execs Table 7'!J40,'execs Table 7'!L40,'execs Table 7'!N40,'execs Table 7'!P40,'execs Table 7'!R40,'execs Table 7'!T40,'execs Table 7'!V40)</f>
        <v>44.588000774383545</v>
      </c>
      <c r="U50" s="3">
        <f t="shared" si="7"/>
        <v>0</v>
      </c>
      <c r="V50" s="1">
        <f t="shared" si="8"/>
        <v>1</v>
      </c>
      <c r="W50" s="18">
        <f>MIN('execs Table 7'!G40,'execs Table 7'!I40,'execs Table 7'!K40,'execs Table 7'!M40,'execs Table 7'!O40,'execs Table 7'!Q40,'execs Table 7'!S40,'execs Table 7'!U40,'execs Table 7'!W40,'execs Table 7'!Y40,'execs Table 7'!C40,'execs Table 7'!E40,'execs Table 7'!AA40,'execs Table 7'!AC40,'execs Table 7'!AE40,'execs Table 7'!AG40,'execs Table 7'!AI40,'execs Table 7'!AK40,'execs Table 7'!AM40,'execs Table 7'!AO40)</f>
        <v>462</v>
      </c>
      <c r="X50" s="18">
        <f>SUM('execs Table 7'!H40,'execs Table 7'!J40,'execs Table 7'!L40,'execs Table 7'!N40,'execs Table 7'!P40,'execs Table 7'!R40,'execs Table 7'!T40,'execs Table 7'!V40,'execs Table 7'!X40,'execs Table 7'!Z40,'execs Table 7'!D40,'execs Table 7'!F40,'execs Table 7'!AB40,'execs Table 7'!AD40,'execs Table 7'!AF40,'execs Table 7'!AH40,'execs Table 7'!AJ40,'execs Table 7'!AL40,'execs Table 7'!AN40,'execs Table 7'!AP40)</f>
        <v>85.147001266479492</v>
      </c>
      <c r="Y50" s="3">
        <f t="shared" si="13"/>
        <v>0</v>
      </c>
      <c r="Z50" s="1">
        <f t="shared" si="14"/>
        <v>1</v>
      </c>
      <c r="AR50" s="2">
        <f t="shared" si="11"/>
        <v>462</v>
      </c>
    </row>
    <row r="51" spans="2:44" ht="16" x14ac:dyDescent="0.2">
      <c r="B51" s="18" t="s">
        <v>73</v>
      </c>
      <c r="C51" s="18">
        <v>36</v>
      </c>
      <c r="D51" s="37" t="s">
        <v>235</v>
      </c>
      <c r="E51" s="3">
        <f t="shared" si="15"/>
        <v>0.5</v>
      </c>
      <c r="F51" s="1">
        <f t="shared" si="3"/>
        <v>0</v>
      </c>
      <c r="G51" s="18">
        <v>36</v>
      </c>
      <c r="H51" s="37" t="s">
        <v>235</v>
      </c>
      <c r="I51" s="3">
        <f t="shared" si="0"/>
        <v>0.5</v>
      </c>
      <c r="J51" s="1">
        <f t="shared" si="1"/>
        <v>0</v>
      </c>
      <c r="K51" s="18">
        <v>36</v>
      </c>
      <c r="L51" s="37" t="s">
        <v>235</v>
      </c>
      <c r="M51" s="3">
        <f t="shared" si="12"/>
        <v>0.5</v>
      </c>
      <c r="N51" s="1">
        <f t="shared" si="4"/>
        <v>0</v>
      </c>
      <c r="O51" s="18">
        <f>'execs Table 7'!C41</f>
        <v>24</v>
      </c>
      <c r="P51" s="18">
        <f>'execs Table 7'!D41</f>
        <v>0.25400000810623169</v>
      </c>
      <c r="Q51" s="3">
        <f t="shared" si="5"/>
        <v>0</v>
      </c>
      <c r="R51" s="1">
        <f t="shared" si="6"/>
        <v>1</v>
      </c>
      <c r="S51" s="18">
        <f>MIN('execs Table 7'!C41,'execs Table 7'!E41,'execs Table 7'!G41,'execs Table 7'!I41,'execs Table 7'!K41,'execs Table 7'!M41,'execs Table 7'!O41,'execs Table 7'!Q41,'execs Table 7'!S41,'execs Table 7'!U41)</f>
        <v>24</v>
      </c>
      <c r="T51" s="18">
        <f>SUM('execs Table 7'!D41,'execs Table 7'!F41,'execs Table 7'!H41,'execs Table 7'!J41,'execs Table 7'!L41,'execs Table 7'!N41,'execs Table 7'!P41,'execs Table 7'!R41,'execs Table 7'!T41,'execs Table 7'!V41)</f>
        <v>2.6290000081062317</v>
      </c>
      <c r="U51" s="3">
        <f t="shared" si="7"/>
        <v>0</v>
      </c>
      <c r="V51" s="1">
        <f t="shared" si="8"/>
        <v>1</v>
      </c>
      <c r="W51" s="18">
        <f>MIN('execs Table 7'!G41,'execs Table 7'!I41,'execs Table 7'!K41,'execs Table 7'!M41,'execs Table 7'!O41,'execs Table 7'!Q41,'execs Table 7'!S41,'execs Table 7'!U41,'execs Table 7'!W41,'execs Table 7'!Y41,'execs Table 7'!C41,'execs Table 7'!E41,'execs Table 7'!AA41,'execs Table 7'!AC41,'execs Table 7'!AE41,'execs Table 7'!AG41,'execs Table 7'!AI41,'execs Table 7'!AK41,'execs Table 7'!AM41,'execs Table 7'!AO41)</f>
        <v>24</v>
      </c>
      <c r="X51" s="18">
        <f>SUM('execs Table 7'!H41,'execs Table 7'!J41,'execs Table 7'!L41,'execs Table 7'!N41,'execs Table 7'!P41,'execs Table 7'!R41,'execs Table 7'!T41,'execs Table 7'!V41,'execs Table 7'!X41,'execs Table 7'!Z41,'execs Table 7'!D41,'execs Table 7'!F41,'execs Table 7'!AB41,'execs Table 7'!AD41,'execs Table 7'!AF41,'execs Table 7'!AH41,'execs Table 7'!AJ41,'execs Table 7'!AL41,'execs Table 7'!AN41,'execs Table 7'!AP41)</f>
        <v>5.2499999701976776</v>
      </c>
      <c r="Y51" s="3">
        <f t="shared" si="13"/>
        <v>0</v>
      </c>
      <c r="Z51" s="1">
        <f t="shared" si="14"/>
        <v>1</v>
      </c>
      <c r="AR51" s="2">
        <f t="shared" si="11"/>
        <v>24</v>
      </c>
    </row>
    <row r="52" spans="2:44" ht="16" x14ac:dyDescent="0.2">
      <c r="B52" s="18" t="s">
        <v>236</v>
      </c>
      <c r="C52" s="18">
        <v>244</v>
      </c>
      <c r="D52" s="37" t="s">
        <v>235</v>
      </c>
      <c r="E52" s="3">
        <f t="shared" si="15"/>
        <v>0.67123287671232879</v>
      </c>
      <c r="F52" s="1">
        <f t="shared" si="3"/>
        <v>0</v>
      </c>
      <c r="G52" s="18">
        <v>233</v>
      </c>
      <c r="H52" s="37" t="s">
        <v>235</v>
      </c>
      <c r="I52" s="3">
        <f t="shared" si="0"/>
        <v>0.59589041095890416</v>
      </c>
      <c r="J52" s="1">
        <f t="shared" si="1"/>
        <v>0</v>
      </c>
      <c r="K52" s="18">
        <v>230</v>
      </c>
      <c r="L52" s="37" t="s">
        <v>235</v>
      </c>
      <c r="M52" s="3">
        <f t="shared" si="12"/>
        <v>0.57534246575342463</v>
      </c>
      <c r="N52" s="1">
        <f t="shared" si="4"/>
        <v>0</v>
      </c>
      <c r="O52" s="18">
        <f>'execs Table 7'!C42</f>
        <v>148</v>
      </c>
      <c r="P52" s="18">
        <f>'execs Table 7'!D42</f>
        <v>11.515000343322754</v>
      </c>
      <c r="Q52" s="3">
        <f t="shared" si="5"/>
        <v>1.3698630136986301E-2</v>
      </c>
      <c r="R52" s="1">
        <f t="shared" si="6"/>
        <v>0</v>
      </c>
      <c r="S52" s="18">
        <f>MIN('execs Table 7'!C42,'execs Table 7'!E42,'execs Table 7'!G42,'execs Table 7'!I42,'execs Table 7'!K42,'execs Table 7'!M42,'execs Table 7'!O42,'execs Table 7'!Q42,'execs Table 7'!S42,'execs Table 7'!U42)</f>
        <v>146</v>
      </c>
      <c r="T52" s="18">
        <f>SUM('execs Table 7'!D42,'execs Table 7'!F42,'execs Table 7'!H42,'execs Table 7'!J42,'execs Table 7'!L42,'execs Table 7'!N42,'execs Table 7'!P42,'execs Table 7'!R42,'execs Table 7'!T42,'execs Table 7'!V42)</f>
        <v>149.67299938201904</v>
      </c>
      <c r="U52" s="3">
        <f t="shared" si="7"/>
        <v>0</v>
      </c>
      <c r="V52" s="1">
        <f t="shared" si="8"/>
        <v>1</v>
      </c>
      <c r="W52" s="18">
        <f>MIN('execs Table 7'!G42,'execs Table 7'!I42,'execs Table 7'!K42,'execs Table 7'!M42,'execs Table 7'!O42,'execs Table 7'!Q42,'execs Table 7'!S42,'execs Table 7'!U42,'execs Table 7'!W42,'execs Table 7'!Y42,'execs Table 7'!C42,'execs Table 7'!E42,'execs Table 7'!AA42,'execs Table 7'!AC42,'execs Table 7'!AE42,'execs Table 7'!AG42,'execs Table 7'!AI42,'execs Table 7'!AK42,'execs Table 7'!AM42,'execs Table 7'!AO42)</f>
        <v>146</v>
      </c>
      <c r="X52" s="18">
        <f>SUM('execs Table 7'!H42,'execs Table 7'!J42,'execs Table 7'!L42,'execs Table 7'!N42,'execs Table 7'!P42,'execs Table 7'!R42,'execs Table 7'!T42,'execs Table 7'!V42,'execs Table 7'!X42,'execs Table 7'!Z42,'execs Table 7'!D42,'execs Table 7'!F42,'execs Table 7'!AB42,'execs Table 7'!AD42,'execs Table 7'!AF42,'execs Table 7'!AH42,'execs Table 7'!AJ42,'execs Table 7'!AL42,'execs Table 7'!AN42,'execs Table 7'!AP42)</f>
        <v>296.60699844360352</v>
      </c>
      <c r="Y52" s="3">
        <f t="shared" si="13"/>
        <v>0</v>
      </c>
      <c r="Z52" s="1">
        <f t="shared" si="14"/>
        <v>1</v>
      </c>
      <c r="AR52" s="2">
        <f t="shared" si="11"/>
        <v>146</v>
      </c>
    </row>
    <row r="53" spans="2:44" ht="16" x14ac:dyDescent="0.2">
      <c r="B53" s="18" t="s">
        <v>74</v>
      </c>
      <c r="C53" s="18">
        <v>480</v>
      </c>
      <c r="D53" s="37" t="s">
        <v>235</v>
      </c>
      <c r="E53" s="3">
        <f t="shared" si="15"/>
        <v>0.65517241379310343</v>
      </c>
      <c r="F53" s="1">
        <f t="shared" si="3"/>
        <v>0</v>
      </c>
      <c r="G53" s="18">
        <v>465</v>
      </c>
      <c r="H53" s="37" t="s">
        <v>235</v>
      </c>
      <c r="I53" s="3">
        <f t="shared" si="0"/>
        <v>0.60344827586206895</v>
      </c>
      <c r="J53" s="1">
        <f t="shared" si="1"/>
        <v>0</v>
      </c>
      <c r="K53" s="18">
        <v>458</v>
      </c>
      <c r="L53" s="37" t="s">
        <v>235</v>
      </c>
      <c r="M53" s="3">
        <f t="shared" si="12"/>
        <v>0.57931034482758625</v>
      </c>
      <c r="N53" s="1">
        <f t="shared" si="4"/>
        <v>0</v>
      </c>
      <c r="O53" s="18">
        <f>'execs Table 7'!C43</f>
        <v>292</v>
      </c>
      <c r="P53" s="18">
        <f>'execs Table 7'!D43</f>
        <v>46.083999633789062</v>
      </c>
      <c r="Q53" s="3">
        <f t="shared" si="5"/>
        <v>6.8965517241379309E-3</v>
      </c>
      <c r="R53" s="1">
        <f t="shared" si="6"/>
        <v>0</v>
      </c>
      <c r="S53" s="18">
        <f>MIN('execs Table 7'!C43,'execs Table 7'!E43,'execs Table 7'!G43,'execs Table 7'!I43,'execs Table 7'!K43,'execs Table 7'!M43,'execs Table 7'!O43,'execs Table 7'!Q43,'execs Table 7'!S43,'execs Table 7'!U43)</f>
        <v>291</v>
      </c>
      <c r="T53" s="18">
        <f>SUM('execs Table 7'!D43,'execs Table 7'!F43,'execs Table 7'!H43,'execs Table 7'!J43,'execs Table 7'!L43,'execs Table 7'!N43,'execs Table 7'!P43,'execs Table 7'!R43,'execs Table 7'!T43,'execs Table 7'!V43)</f>
        <v>423.96199989318848</v>
      </c>
      <c r="U53" s="3">
        <f t="shared" si="7"/>
        <v>3.4482758620689655E-3</v>
      </c>
      <c r="V53" s="1">
        <f t="shared" si="8"/>
        <v>0</v>
      </c>
      <c r="W53" s="18">
        <f>MIN('execs Table 7'!G43,'execs Table 7'!I43,'execs Table 7'!K43,'execs Table 7'!M43,'execs Table 7'!O43,'execs Table 7'!Q43,'execs Table 7'!S43,'execs Table 7'!U43,'execs Table 7'!W43,'execs Table 7'!Y43,'execs Table 7'!C43,'execs Table 7'!E43,'execs Table 7'!AA43,'execs Table 7'!AC43,'execs Table 7'!AE43,'execs Table 7'!AG43,'execs Table 7'!AI43,'execs Table 7'!AK43,'execs Table 7'!AM43,'execs Table 7'!AO43)</f>
        <v>290</v>
      </c>
      <c r="X53" s="18">
        <f>SUM('execs Table 7'!H43,'execs Table 7'!J43,'execs Table 7'!L43,'execs Table 7'!N43,'execs Table 7'!P43,'execs Table 7'!R43,'execs Table 7'!T43,'execs Table 7'!V43,'execs Table 7'!X43,'execs Table 7'!Z43,'execs Table 7'!D43,'execs Table 7'!F43,'execs Table 7'!AB43,'execs Table 7'!AD43,'execs Table 7'!AF43,'execs Table 7'!AH43,'execs Table 7'!AJ43,'execs Table 7'!AL43,'execs Table 7'!AN43,'execs Table 7'!AP43)</f>
        <v>873.47299766540527</v>
      </c>
      <c r="Y53" s="3">
        <f t="shared" si="13"/>
        <v>0</v>
      </c>
      <c r="Z53" s="1">
        <f t="shared" si="14"/>
        <v>1</v>
      </c>
      <c r="AR53" s="2">
        <f t="shared" si="11"/>
        <v>290</v>
      </c>
    </row>
    <row r="54" spans="2:44" ht="16" x14ac:dyDescent="0.2">
      <c r="B54" s="18" t="s">
        <v>75</v>
      </c>
      <c r="C54" s="18">
        <v>31</v>
      </c>
      <c r="D54" s="37" t="s">
        <v>235</v>
      </c>
      <c r="E54" s="3">
        <f t="shared" si="15"/>
        <v>0.34782608695652173</v>
      </c>
      <c r="F54" s="1">
        <f t="shared" si="3"/>
        <v>0</v>
      </c>
      <c r="G54" s="18">
        <v>31</v>
      </c>
      <c r="H54" s="37" t="s">
        <v>235</v>
      </c>
      <c r="I54" s="3">
        <f t="shared" si="0"/>
        <v>0.34782608695652173</v>
      </c>
      <c r="J54" s="1">
        <f t="shared" si="1"/>
        <v>0</v>
      </c>
      <c r="K54" s="18">
        <v>31</v>
      </c>
      <c r="L54" s="37" t="s">
        <v>235</v>
      </c>
      <c r="M54" s="3">
        <f t="shared" si="12"/>
        <v>0.34782608695652173</v>
      </c>
      <c r="N54" s="1">
        <f t="shared" si="4"/>
        <v>0</v>
      </c>
      <c r="O54" s="18">
        <f>'execs Table 7'!C44</f>
        <v>23</v>
      </c>
      <c r="P54" s="18">
        <f>'execs Table 7'!D44</f>
        <v>3.0999999493360519E-2</v>
      </c>
      <c r="Q54" s="3">
        <f t="shared" si="5"/>
        <v>0</v>
      </c>
      <c r="R54" s="1">
        <f t="shared" si="6"/>
        <v>1</v>
      </c>
      <c r="S54" s="18">
        <f>MIN('execs Table 7'!C44,'execs Table 7'!E44,'execs Table 7'!G44,'execs Table 7'!I44,'execs Table 7'!K44,'execs Table 7'!M44,'execs Table 7'!O44,'execs Table 7'!Q44,'execs Table 7'!S44,'execs Table 7'!U44)</f>
        <v>23</v>
      </c>
      <c r="T54" s="18">
        <f>SUM('execs Table 7'!D44,'execs Table 7'!F44,'execs Table 7'!H44,'execs Table 7'!J44,'execs Table 7'!L44,'execs Table 7'!N44,'execs Table 7'!P44,'execs Table 7'!R44,'execs Table 7'!T44,'execs Table 7'!V44)</f>
        <v>0.31699999608099461</v>
      </c>
      <c r="U54" s="3">
        <f t="shared" si="7"/>
        <v>0</v>
      </c>
      <c r="V54" s="1">
        <f t="shared" si="8"/>
        <v>1</v>
      </c>
      <c r="W54" s="18">
        <f>MIN('execs Table 7'!G44,'execs Table 7'!I44,'execs Table 7'!K44,'execs Table 7'!M44,'execs Table 7'!O44,'execs Table 7'!Q44,'execs Table 7'!S44,'execs Table 7'!U44,'execs Table 7'!W44,'execs Table 7'!Y44,'execs Table 7'!C44,'execs Table 7'!E44,'execs Table 7'!AA44,'execs Table 7'!AC44,'execs Table 7'!AE44,'execs Table 7'!AG44,'execs Table 7'!AI44,'execs Table 7'!AK44,'execs Table 7'!AM44,'execs Table 7'!AO44)</f>
        <v>23</v>
      </c>
      <c r="X54" s="18">
        <f>SUM('execs Table 7'!H44,'execs Table 7'!J44,'execs Table 7'!L44,'execs Table 7'!N44,'execs Table 7'!P44,'execs Table 7'!R44,'execs Table 7'!T44,'execs Table 7'!V44,'execs Table 7'!X44,'execs Table 7'!Z44,'execs Table 7'!D44,'execs Table 7'!F44,'execs Table 7'!AB44,'execs Table 7'!AD44,'execs Table 7'!AF44,'execs Table 7'!AH44,'execs Table 7'!AJ44,'execs Table 7'!AL44,'execs Table 7'!AN44,'execs Table 7'!AP44)</f>
        <v>0.62099999748170376</v>
      </c>
      <c r="Y54" s="3">
        <f t="shared" si="13"/>
        <v>0</v>
      </c>
      <c r="Z54" s="1">
        <f t="shared" si="14"/>
        <v>1</v>
      </c>
      <c r="AR54" s="2">
        <f t="shared" si="11"/>
        <v>23</v>
      </c>
    </row>
    <row r="55" spans="2:44" ht="16" x14ac:dyDescent="0.2">
      <c r="B55" s="18" t="s">
        <v>76</v>
      </c>
      <c r="C55" s="18">
        <v>84</v>
      </c>
      <c r="D55" s="37" t="s">
        <v>235</v>
      </c>
      <c r="E55" s="3">
        <f t="shared" si="15"/>
        <v>0</v>
      </c>
      <c r="F55" s="1">
        <f t="shared" si="3"/>
        <v>1</v>
      </c>
      <c r="G55" s="18">
        <v>84</v>
      </c>
      <c r="H55" s="37" t="s">
        <v>235</v>
      </c>
      <c r="I55" s="3">
        <f t="shared" si="0"/>
        <v>0</v>
      </c>
      <c r="J55" s="1">
        <f t="shared" si="1"/>
        <v>1</v>
      </c>
      <c r="K55" s="18">
        <v>84</v>
      </c>
      <c r="L55" s="37" t="s">
        <v>235</v>
      </c>
      <c r="M55" s="3">
        <f t="shared" si="12"/>
        <v>0</v>
      </c>
      <c r="N55" s="1">
        <f t="shared" si="4"/>
        <v>1</v>
      </c>
      <c r="O55" s="18">
        <f>'execs Table 7'!C45</f>
        <v>84</v>
      </c>
      <c r="P55" s="18">
        <f>'execs Table 7'!D45</f>
        <v>0.13600000739097595</v>
      </c>
      <c r="Q55" s="3">
        <f t="shared" si="5"/>
        <v>0</v>
      </c>
      <c r="R55" s="1">
        <f t="shared" si="6"/>
        <v>1</v>
      </c>
      <c r="S55" s="18">
        <f>MIN('execs Table 7'!C45,'execs Table 7'!E45,'execs Table 7'!G45,'execs Table 7'!I45,'execs Table 7'!K45,'execs Table 7'!M45,'execs Table 7'!O45,'execs Table 7'!Q45,'execs Table 7'!S45,'execs Table 7'!U45)</f>
        <v>84</v>
      </c>
      <c r="T55" s="18">
        <f>SUM('execs Table 7'!D45,'execs Table 7'!F45,'execs Table 7'!H45,'execs Table 7'!J45,'execs Table 7'!L45,'execs Table 7'!N45,'execs Table 7'!P45,'execs Table 7'!R45,'execs Table 7'!T45,'execs Table 7'!V45)</f>
        <v>1.3450000286102295</v>
      </c>
      <c r="U55" s="3">
        <f t="shared" si="7"/>
        <v>0</v>
      </c>
      <c r="V55" s="1">
        <f t="shared" si="8"/>
        <v>1</v>
      </c>
      <c r="W55" s="18">
        <f>MIN('execs Table 7'!G45,'execs Table 7'!I45,'execs Table 7'!K45,'execs Table 7'!M45,'execs Table 7'!O45,'execs Table 7'!Q45,'execs Table 7'!S45,'execs Table 7'!U45,'execs Table 7'!W45,'execs Table 7'!Y45,'execs Table 7'!C45,'execs Table 7'!E45,'execs Table 7'!AA45,'execs Table 7'!AC45,'execs Table 7'!AE45,'execs Table 7'!AG45,'execs Table 7'!AI45,'execs Table 7'!AK45,'execs Table 7'!AM45,'execs Table 7'!AO45)</f>
        <v>84</v>
      </c>
      <c r="X55" s="18">
        <f>SUM('execs Table 7'!H45,'execs Table 7'!J45,'execs Table 7'!L45,'execs Table 7'!N45,'execs Table 7'!P45,'execs Table 7'!R45,'execs Table 7'!T45,'execs Table 7'!V45,'execs Table 7'!X45,'execs Table 7'!Z45,'execs Table 7'!D45,'execs Table 7'!F45,'execs Table 7'!AB45,'execs Table 7'!AD45,'execs Table 7'!AF45,'execs Table 7'!AH45,'execs Table 7'!AJ45,'execs Table 7'!AL45,'execs Table 7'!AN45,'execs Table 7'!AP45)</f>
        <v>2.7280000522732735</v>
      </c>
      <c r="Y55" s="3">
        <f t="shared" si="13"/>
        <v>0</v>
      </c>
      <c r="Z55" s="1">
        <f t="shared" si="14"/>
        <v>1</v>
      </c>
      <c r="AR55" s="2">
        <f t="shared" si="11"/>
        <v>84</v>
      </c>
    </row>
    <row r="56" spans="2:44" ht="16" x14ac:dyDescent="0.2">
      <c r="B56" s="18" t="s">
        <v>77</v>
      </c>
      <c r="C56" s="18">
        <v>183</v>
      </c>
      <c r="D56" s="37" t="s">
        <v>235</v>
      </c>
      <c r="E56" s="3">
        <f t="shared" si="15"/>
        <v>7.6470588235294124E-2</v>
      </c>
      <c r="F56" s="1">
        <f t="shared" si="3"/>
        <v>0</v>
      </c>
      <c r="G56" s="18">
        <v>181</v>
      </c>
      <c r="H56" s="37" t="s">
        <v>235</v>
      </c>
      <c r="I56" s="3">
        <f t="shared" si="0"/>
        <v>6.4705882352941183E-2</v>
      </c>
      <c r="J56" s="1">
        <f t="shared" si="1"/>
        <v>0</v>
      </c>
      <c r="K56" s="18">
        <v>177</v>
      </c>
      <c r="L56" s="37" t="s">
        <v>235</v>
      </c>
      <c r="M56" s="3">
        <f t="shared" si="12"/>
        <v>4.1176470588235294E-2</v>
      </c>
      <c r="N56" s="1">
        <f t="shared" si="4"/>
        <v>0</v>
      </c>
      <c r="O56" s="18">
        <f>'execs Table 7'!C46</f>
        <v>170</v>
      </c>
      <c r="P56" s="18">
        <f>'execs Table 7'!D46</f>
        <v>1.6089999675750732</v>
      </c>
      <c r="Q56" s="3">
        <f t="shared" si="5"/>
        <v>0</v>
      </c>
      <c r="R56" s="1">
        <f t="shared" si="6"/>
        <v>1</v>
      </c>
      <c r="S56" s="18">
        <f>MIN('execs Table 7'!C46,'execs Table 7'!E46,'execs Table 7'!G46,'execs Table 7'!I46,'execs Table 7'!K46,'execs Table 7'!M46,'execs Table 7'!O46,'execs Table 7'!Q46,'execs Table 7'!S46,'execs Table 7'!U46)</f>
        <v>170</v>
      </c>
      <c r="T56" s="18">
        <f>SUM('execs Table 7'!D46,'execs Table 7'!F46,'execs Table 7'!H46,'execs Table 7'!J46,'execs Table 7'!L46,'execs Table 7'!N46,'execs Table 7'!P46,'execs Table 7'!R46,'execs Table 7'!T46,'execs Table 7'!V46)</f>
        <v>17.853000164031982</v>
      </c>
      <c r="U56" s="3">
        <f t="shared" si="7"/>
        <v>0</v>
      </c>
      <c r="V56" s="1">
        <f t="shared" si="8"/>
        <v>1</v>
      </c>
      <c r="W56" s="18">
        <f>MIN('execs Table 7'!G46,'execs Table 7'!I46,'execs Table 7'!K46,'execs Table 7'!M46,'execs Table 7'!O46,'execs Table 7'!Q46,'execs Table 7'!S46,'execs Table 7'!U46,'execs Table 7'!W46,'execs Table 7'!Y46,'execs Table 7'!C46,'execs Table 7'!E46,'execs Table 7'!AA46,'execs Table 7'!AC46,'execs Table 7'!AE46,'execs Table 7'!AG46,'execs Table 7'!AI46,'execs Table 7'!AK46,'execs Table 7'!AM46,'execs Table 7'!AO46)</f>
        <v>170</v>
      </c>
      <c r="X56" s="18">
        <f>SUM('execs Table 7'!H46,'execs Table 7'!J46,'execs Table 7'!L46,'execs Table 7'!N46,'execs Table 7'!P46,'execs Table 7'!R46,'execs Table 7'!T46,'execs Table 7'!V46,'execs Table 7'!X46,'execs Table 7'!Z46,'execs Table 7'!D46,'execs Table 7'!F46,'execs Table 7'!AB46,'execs Table 7'!AD46,'execs Table 7'!AF46,'execs Table 7'!AH46,'execs Table 7'!AJ46,'execs Table 7'!AL46,'execs Table 7'!AN46,'execs Table 7'!AP46)</f>
        <v>37.751000165939331</v>
      </c>
      <c r="Y56" s="3">
        <f t="shared" si="13"/>
        <v>0</v>
      </c>
      <c r="Z56" s="1">
        <f t="shared" si="14"/>
        <v>1</v>
      </c>
      <c r="AR56" s="2">
        <f t="shared" si="11"/>
        <v>170</v>
      </c>
    </row>
    <row r="57" spans="2:44" ht="16" x14ac:dyDescent="0.2">
      <c r="B57" s="18" t="s">
        <v>78</v>
      </c>
      <c r="C57" s="18">
        <v>269</v>
      </c>
      <c r="D57" s="37" t="s">
        <v>235</v>
      </c>
      <c r="E57" s="3">
        <f t="shared" si="15"/>
        <v>6.7460317460317457E-2</v>
      </c>
      <c r="F57" s="1">
        <f t="shared" si="3"/>
        <v>0</v>
      </c>
      <c r="G57" s="18">
        <v>264</v>
      </c>
      <c r="H57" s="37" t="s">
        <v>235</v>
      </c>
      <c r="I57" s="3">
        <f t="shared" si="0"/>
        <v>4.7619047619047616E-2</v>
      </c>
      <c r="J57" s="1">
        <f t="shared" si="1"/>
        <v>0</v>
      </c>
      <c r="K57" s="18">
        <v>260</v>
      </c>
      <c r="L57" s="37" t="s">
        <v>235</v>
      </c>
      <c r="M57" s="3">
        <f t="shared" si="12"/>
        <v>3.1746031746031744E-2</v>
      </c>
      <c r="N57" s="1">
        <f t="shared" si="4"/>
        <v>0</v>
      </c>
      <c r="O57" s="18">
        <f>'execs Table 7'!C47</f>
        <v>252</v>
      </c>
      <c r="P57" s="18">
        <f>'execs Table 7'!D47</f>
        <v>2.624000072479248</v>
      </c>
      <c r="Q57" s="3">
        <f t="shared" si="5"/>
        <v>0</v>
      </c>
      <c r="R57" s="1">
        <f t="shared" si="6"/>
        <v>1</v>
      </c>
      <c r="S57" s="18">
        <f>MIN('execs Table 7'!C47,'execs Table 7'!E47,'execs Table 7'!G47,'execs Table 7'!I47,'execs Table 7'!K47,'execs Table 7'!M47,'execs Table 7'!O47,'execs Table 7'!Q47,'execs Table 7'!S47,'execs Table 7'!U47)</f>
        <v>252</v>
      </c>
      <c r="T57" s="18">
        <f>SUM('execs Table 7'!D47,'execs Table 7'!F47,'execs Table 7'!H47,'execs Table 7'!J47,'execs Table 7'!L47,'execs Table 7'!N47,'execs Table 7'!P47,'execs Table 7'!R47,'execs Table 7'!T47,'execs Table 7'!V47)</f>
        <v>16.907999992370605</v>
      </c>
      <c r="U57" s="3">
        <f t="shared" si="7"/>
        <v>0</v>
      </c>
      <c r="V57" s="1">
        <f t="shared" si="8"/>
        <v>1</v>
      </c>
      <c r="W57" s="18">
        <f>MIN('execs Table 7'!G47,'execs Table 7'!I47,'execs Table 7'!K47,'execs Table 7'!M47,'execs Table 7'!O47,'execs Table 7'!Q47,'execs Table 7'!S47,'execs Table 7'!U47,'execs Table 7'!W47,'execs Table 7'!Y47,'execs Table 7'!C47,'execs Table 7'!E47,'execs Table 7'!AA47,'execs Table 7'!AC47,'execs Table 7'!AE47,'execs Table 7'!AG47,'execs Table 7'!AI47,'execs Table 7'!AK47,'execs Table 7'!AM47,'execs Table 7'!AO47)</f>
        <v>252</v>
      </c>
      <c r="X57" s="18">
        <f>SUM('execs Table 7'!H47,'execs Table 7'!J47,'execs Table 7'!L47,'execs Table 7'!N47,'execs Table 7'!P47,'execs Table 7'!R47,'execs Table 7'!T47,'execs Table 7'!V47,'execs Table 7'!X47,'execs Table 7'!Z47,'execs Table 7'!D47,'execs Table 7'!F47,'execs Table 7'!AB47,'execs Table 7'!AD47,'execs Table 7'!AF47,'execs Table 7'!AH47,'execs Table 7'!AJ47,'execs Table 7'!AL47,'execs Table 7'!AN47,'execs Table 7'!AP47)</f>
        <v>37.371000170707703</v>
      </c>
      <c r="Y57" s="3">
        <f t="shared" si="13"/>
        <v>0</v>
      </c>
      <c r="Z57" s="1">
        <f t="shared" si="14"/>
        <v>1</v>
      </c>
      <c r="AR57" s="2">
        <f t="shared" si="11"/>
        <v>252</v>
      </c>
    </row>
    <row r="58" spans="2:44" ht="16" x14ac:dyDescent="0.2">
      <c r="B58" s="18" t="s">
        <v>79</v>
      </c>
      <c r="C58" s="18">
        <v>347</v>
      </c>
      <c r="D58" s="37" t="s">
        <v>235</v>
      </c>
      <c r="E58" s="3">
        <f t="shared" si="15"/>
        <v>8.0996884735202487E-2</v>
      </c>
      <c r="F58" s="1">
        <f t="shared" si="3"/>
        <v>0</v>
      </c>
      <c r="G58" s="18">
        <v>342</v>
      </c>
      <c r="H58" s="37" t="s">
        <v>235</v>
      </c>
      <c r="I58" s="3">
        <f t="shared" si="0"/>
        <v>6.5420560747663545E-2</v>
      </c>
      <c r="J58" s="1">
        <f t="shared" si="1"/>
        <v>0</v>
      </c>
      <c r="K58" s="18">
        <v>337</v>
      </c>
      <c r="L58" s="37" t="s">
        <v>235</v>
      </c>
      <c r="M58" s="3">
        <f t="shared" si="12"/>
        <v>4.9844236760124609E-2</v>
      </c>
      <c r="N58" s="1">
        <f t="shared" si="4"/>
        <v>0</v>
      </c>
      <c r="O58" s="18">
        <f>'execs Table 7'!C48</f>
        <v>321</v>
      </c>
      <c r="P58" s="18">
        <f>'execs Table 7'!D48</f>
        <v>4.179999828338623</v>
      </c>
      <c r="Q58" s="3">
        <f t="shared" si="5"/>
        <v>0</v>
      </c>
      <c r="R58" s="1">
        <f t="shared" si="6"/>
        <v>1</v>
      </c>
      <c r="S58" s="18">
        <f>MIN('execs Table 7'!C48,'execs Table 7'!E48,'execs Table 7'!G48,'execs Table 7'!I48,'execs Table 7'!K48,'execs Table 7'!M48,'execs Table 7'!O48,'execs Table 7'!Q48,'execs Table 7'!S48,'execs Table 7'!U48)</f>
        <v>321</v>
      </c>
      <c r="T58" s="18">
        <f>SUM('execs Table 7'!D48,'execs Table 7'!F48,'execs Table 7'!H48,'execs Table 7'!J48,'execs Table 7'!L48,'execs Table 7'!N48,'execs Table 7'!P48,'execs Table 7'!R48,'execs Table 7'!T48,'execs Table 7'!V48)</f>
        <v>42.287000179290771</v>
      </c>
      <c r="U58" s="3">
        <f t="shared" si="7"/>
        <v>0</v>
      </c>
      <c r="V58" s="1">
        <f t="shared" si="8"/>
        <v>1</v>
      </c>
      <c r="W58" s="18">
        <f>MIN('execs Table 7'!G48,'execs Table 7'!I48,'execs Table 7'!K48,'execs Table 7'!M48,'execs Table 7'!O48,'execs Table 7'!Q48,'execs Table 7'!S48,'execs Table 7'!U48,'execs Table 7'!W48,'execs Table 7'!Y48,'execs Table 7'!C48,'execs Table 7'!E48,'execs Table 7'!AA48,'execs Table 7'!AC48,'execs Table 7'!AE48,'execs Table 7'!AG48,'execs Table 7'!AI48,'execs Table 7'!AK48,'execs Table 7'!AM48,'execs Table 7'!AO48)</f>
        <v>321</v>
      </c>
      <c r="X58" s="18">
        <f>SUM('execs Table 7'!H48,'execs Table 7'!J48,'execs Table 7'!L48,'execs Table 7'!N48,'execs Table 7'!P48,'execs Table 7'!R48,'execs Table 7'!T48,'execs Table 7'!V48,'execs Table 7'!X48,'execs Table 7'!Z48,'execs Table 7'!D48,'execs Table 7'!F48,'execs Table 7'!AB48,'execs Table 7'!AD48,'execs Table 7'!AF48,'execs Table 7'!AH48,'execs Table 7'!AJ48,'execs Table 7'!AL48,'execs Table 7'!AN48,'execs Table 7'!AP48)</f>
        <v>75.676999807357788</v>
      </c>
      <c r="Y58" s="3">
        <f t="shared" si="13"/>
        <v>0</v>
      </c>
      <c r="Z58" s="1">
        <f t="shared" si="14"/>
        <v>1</v>
      </c>
      <c r="AR58" s="2">
        <f t="shared" si="11"/>
        <v>321</v>
      </c>
    </row>
    <row r="59" spans="2:44" ht="16" x14ac:dyDescent="0.2">
      <c r="B59" s="18" t="s">
        <v>241</v>
      </c>
      <c r="C59" s="18">
        <v>84</v>
      </c>
      <c r="D59" s="37" t="s">
        <v>235</v>
      </c>
      <c r="E59" s="3">
        <f t="shared" si="15"/>
        <v>7.6923076923076927E-2</v>
      </c>
      <c r="F59" s="1">
        <f t="shared" si="3"/>
        <v>0</v>
      </c>
      <c r="G59" s="18">
        <v>80</v>
      </c>
      <c r="H59" s="37" t="s">
        <v>235</v>
      </c>
      <c r="I59" s="3">
        <f t="shared" si="0"/>
        <v>2.564102564102564E-2</v>
      </c>
      <c r="J59" s="1">
        <f t="shared" si="1"/>
        <v>0</v>
      </c>
      <c r="K59" s="18">
        <v>82</v>
      </c>
      <c r="L59" s="37" t="s">
        <v>235</v>
      </c>
      <c r="M59" s="3">
        <f t="shared" si="12"/>
        <v>5.128205128205128E-2</v>
      </c>
      <c r="N59" s="1">
        <f t="shared" si="4"/>
        <v>0</v>
      </c>
      <c r="O59" s="18">
        <f>'execs Table 7'!C49</f>
        <v>80</v>
      </c>
      <c r="P59" s="18">
        <f>'execs Table 7'!D49</f>
        <v>0.12800000607967377</v>
      </c>
      <c r="Q59" s="3">
        <f t="shared" si="5"/>
        <v>2.564102564102564E-2</v>
      </c>
      <c r="R59" s="1">
        <f t="shared" si="6"/>
        <v>0</v>
      </c>
      <c r="S59" s="18">
        <f>MIN('execs Table 7'!C49,'execs Table 7'!E49,'execs Table 7'!G49,'execs Table 7'!I49,'execs Table 7'!K49,'execs Table 7'!M49,'execs Table 7'!O49,'execs Table 7'!Q49,'execs Table 7'!S49,'execs Table 7'!U49)</f>
        <v>78</v>
      </c>
      <c r="T59" s="18">
        <f>SUM('execs Table 7'!D49,'execs Table 7'!F49,'execs Table 7'!H49,'execs Table 7'!J49,'execs Table 7'!L49,'execs Table 7'!N49,'execs Table 7'!P49,'execs Table 7'!R49,'execs Table 7'!T49,'execs Table 7'!V49)</f>
        <v>1.3629999980330467</v>
      </c>
      <c r="U59" s="3">
        <f t="shared" si="7"/>
        <v>0</v>
      </c>
      <c r="V59" s="1">
        <f t="shared" si="8"/>
        <v>1</v>
      </c>
      <c r="W59" s="18">
        <f>MIN('execs Table 7'!G49,'execs Table 7'!I49,'execs Table 7'!K49,'execs Table 7'!M49,'execs Table 7'!O49,'execs Table 7'!Q49,'execs Table 7'!S49,'execs Table 7'!U49,'execs Table 7'!W49,'execs Table 7'!Y49,'execs Table 7'!C49,'execs Table 7'!E49,'execs Table 7'!AA49,'execs Table 7'!AC49,'execs Table 7'!AE49,'execs Table 7'!AG49,'execs Table 7'!AI49,'execs Table 7'!AK49,'execs Table 7'!AM49,'execs Table 7'!AO49)</f>
        <v>78</v>
      </c>
      <c r="X59" s="18">
        <f>SUM('execs Table 7'!H49,'execs Table 7'!J49,'execs Table 7'!L49,'execs Table 7'!N49,'execs Table 7'!P49,'execs Table 7'!R49,'execs Table 7'!T49,'execs Table 7'!V49,'execs Table 7'!X49,'execs Table 7'!Z49,'execs Table 7'!D49,'execs Table 7'!F49,'execs Table 7'!AB49,'execs Table 7'!AD49,'execs Table 7'!AF49,'execs Table 7'!AH49,'execs Table 7'!AJ49,'execs Table 7'!AL49,'execs Table 7'!AN49,'execs Table 7'!AP49)</f>
        <v>2.7820000052452087</v>
      </c>
      <c r="Y59" s="3">
        <f t="shared" si="13"/>
        <v>0</v>
      </c>
      <c r="Z59" s="1">
        <f t="shared" si="14"/>
        <v>1</v>
      </c>
      <c r="AR59" s="2">
        <f t="shared" si="11"/>
        <v>78</v>
      </c>
    </row>
    <row r="60" spans="2:44" ht="16" x14ac:dyDescent="0.2">
      <c r="B60" s="18" t="s">
        <v>242</v>
      </c>
      <c r="C60" s="18">
        <v>38</v>
      </c>
      <c r="D60" s="37" t="s">
        <v>235</v>
      </c>
      <c r="E60" s="3">
        <f t="shared" si="15"/>
        <v>5.5555555555555552E-2</v>
      </c>
      <c r="F60" s="1">
        <f t="shared" si="3"/>
        <v>0</v>
      </c>
      <c r="G60" s="18">
        <v>36</v>
      </c>
      <c r="H60" s="37" t="s">
        <v>235</v>
      </c>
      <c r="I60" s="3">
        <f t="shared" si="0"/>
        <v>0</v>
      </c>
      <c r="J60" s="1">
        <f t="shared" si="1"/>
        <v>1</v>
      </c>
      <c r="K60" s="18">
        <v>36</v>
      </c>
      <c r="L60" s="37" t="s">
        <v>235</v>
      </c>
      <c r="M60" s="3">
        <f t="shared" si="12"/>
        <v>0</v>
      </c>
      <c r="N60" s="1">
        <f t="shared" si="4"/>
        <v>1</v>
      </c>
      <c r="O60" s="18">
        <f>'execs Table 7'!C50</f>
        <v>36</v>
      </c>
      <c r="P60" s="18">
        <f>'execs Table 7'!D50</f>
        <v>0.87099999189376831</v>
      </c>
      <c r="Q60" s="3">
        <f t="shared" si="5"/>
        <v>0</v>
      </c>
      <c r="R60" s="1">
        <f t="shared" si="6"/>
        <v>1</v>
      </c>
      <c r="S60" s="18">
        <f>MIN('execs Table 7'!C50,'execs Table 7'!E50,'execs Table 7'!G50,'execs Table 7'!I50,'execs Table 7'!K50,'execs Table 7'!M50,'execs Table 7'!O50,'execs Table 7'!Q50,'execs Table 7'!S50,'execs Table 7'!U50)</f>
        <v>36</v>
      </c>
      <c r="T60" s="18">
        <f>SUM('execs Table 7'!D50,'execs Table 7'!F50,'execs Table 7'!H50,'execs Table 7'!J50,'execs Table 7'!L50,'execs Table 7'!N50,'execs Table 7'!P50,'execs Table 7'!R50,'execs Table 7'!T50,'execs Table 7'!V50)</f>
        <v>8.4589999914169312</v>
      </c>
      <c r="U60" s="3">
        <f t="shared" si="7"/>
        <v>0</v>
      </c>
      <c r="V60" s="1">
        <f t="shared" si="8"/>
        <v>1</v>
      </c>
      <c r="W60" s="18">
        <f>MIN('execs Table 7'!G50,'execs Table 7'!I50,'execs Table 7'!K50,'execs Table 7'!M50,'execs Table 7'!O50,'execs Table 7'!Q50,'execs Table 7'!S50,'execs Table 7'!U50,'execs Table 7'!W50,'execs Table 7'!Y50,'execs Table 7'!C50,'execs Table 7'!E50,'execs Table 7'!AA50,'execs Table 7'!AC50,'execs Table 7'!AE50,'execs Table 7'!AG50,'execs Table 7'!AI50,'execs Table 7'!AK50,'execs Table 7'!AM50,'execs Table 7'!AO50)</f>
        <v>36</v>
      </c>
      <c r="X60" s="18">
        <f>SUM('execs Table 7'!H50,'execs Table 7'!J50,'execs Table 7'!L50,'execs Table 7'!N50,'execs Table 7'!P50,'execs Table 7'!R50,'execs Table 7'!T50,'execs Table 7'!V50,'execs Table 7'!X50,'execs Table 7'!Z50,'execs Table 7'!D50,'execs Table 7'!F50,'execs Table 7'!AB50,'execs Table 7'!AD50,'execs Table 7'!AF50,'execs Table 7'!AH50,'execs Table 7'!AJ50,'execs Table 7'!AL50,'execs Table 7'!AN50,'execs Table 7'!AP50)</f>
        <v>16.870000064373016</v>
      </c>
      <c r="Y60" s="3">
        <f t="shared" si="13"/>
        <v>0</v>
      </c>
      <c r="Z60" s="1">
        <f t="shared" si="14"/>
        <v>1</v>
      </c>
      <c r="AR60" s="2">
        <f t="shared" si="11"/>
        <v>36</v>
      </c>
    </row>
    <row r="61" spans="2:44" ht="16" x14ac:dyDescent="0.2">
      <c r="B61" s="18" t="s">
        <v>252</v>
      </c>
      <c r="C61" s="18">
        <v>92</v>
      </c>
      <c r="D61" s="37" t="s">
        <v>235</v>
      </c>
      <c r="E61" s="3">
        <f t="shared" si="15"/>
        <v>9.5238095238095233E-2</v>
      </c>
      <c r="F61" s="1">
        <f t="shared" si="3"/>
        <v>0</v>
      </c>
      <c r="G61" s="18">
        <v>90</v>
      </c>
      <c r="H61" s="37" t="s">
        <v>235</v>
      </c>
      <c r="I61" s="3">
        <f t="shared" si="0"/>
        <v>7.1428571428571425E-2</v>
      </c>
      <c r="J61" s="1">
        <f t="shared" si="1"/>
        <v>0</v>
      </c>
      <c r="K61" s="18">
        <v>87</v>
      </c>
      <c r="L61" s="37" t="s">
        <v>235</v>
      </c>
      <c r="M61" s="3">
        <f t="shared" si="12"/>
        <v>3.5714285714285712E-2</v>
      </c>
      <c r="N61" s="1">
        <f t="shared" si="4"/>
        <v>0</v>
      </c>
      <c r="O61" s="18">
        <f>'execs Table 7'!C51</f>
        <v>87</v>
      </c>
      <c r="P61" s="18">
        <f>'execs Table 7'!D51</f>
        <v>0.49200001358985901</v>
      </c>
      <c r="Q61" s="3">
        <f t="shared" si="5"/>
        <v>3.5714285714285712E-2</v>
      </c>
      <c r="R61" s="1">
        <f t="shared" si="6"/>
        <v>0</v>
      </c>
      <c r="S61" s="18">
        <f>MIN('execs Table 7'!C51,'execs Table 7'!E51,'execs Table 7'!G51,'execs Table 7'!I51,'execs Table 7'!K51,'execs Table 7'!M51,'execs Table 7'!O51,'execs Table 7'!Q51,'execs Table 7'!S51,'execs Table 7'!U51)</f>
        <v>84</v>
      </c>
      <c r="T61" s="18">
        <f>SUM('execs Table 7'!D51,'execs Table 7'!F51,'execs Table 7'!H51,'execs Table 7'!J51,'execs Table 7'!L51,'execs Table 7'!N51,'execs Table 7'!P51,'execs Table 7'!R51,'execs Table 7'!T51,'execs Table 7'!V51)</f>
        <v>5.2159999310970306</v>
      </c>
      <c r="U61" s="3">
        <f t="shared" si="7"/>
        <v>0</v>
      </c>
      <c r="V61" s="1">
        <f t="shared" si="8"/>
        <v>1</v>
      </c>
      <c r="W61" s="18">
        <f>MIN('execs Table 7'!G51,'execs Table 7'!I51,'execs Table 7'!K51,'execs Table 7'!M51,'execs Table 7'!O51,'execs Table 7'!Q51,'execs Table 7'!S51,'execs Table 7'!U51,'execs Table 7'!W51,'execs Table 7'!Y51,'execs Table 7'!C51,'execs Table 7'!E51,'execs Table 7'!AA51,'execs Table 7'!AC51,'execs Table 7'!AE51,'execs Table 7'!AG51,'execs Table 7'!AI51,'execs Table 7'!AK51,'execs Table 7'!AM51,'execs Table 7'!AO51)</f>
        <v>84</v>
      </c>
      <c r="X61" s="18">
        <f>SUM('execs Table 7'!H51,'execs Table 7'!J51,'execs Table 7'!L51,'execs Table 7'!N51,'execs Table 7'!P51,'execs Table 7'!R51,'execs Table 7'!T51,'execs Table 7'!V51,'execs Table 7'!X51,'execs Table 7'!Z51,'execs Table 7'!D51,'execs Table 7'!F51,'execs Table 7'!AB51,'execs Table 7'!AD51,'execs Table 7'!AF51,'execs Table 7'!AH51,'execs Table 7'!AJ51,'execs Table 7'!AL51,'execs Table 7'!AN51,'execs Table 7'!AP51)</f>
        <v>9.5069999396800995</v>
      </c>
      <c r="Y61" s="3">
        <f t="shared" si="13"/>
        <v>0</v>
      </c>
      <c r="Z61" s="1">
        <f t="shared" si="14"/>
        <v>1</v>
      </c>
      <c r="AR61" s="2">
        <f t="shared" si="11"/>
        <v>84</v>
      </c>
    </row>
    <row r="62" spans="2:44" ht="16" x14ac:dyDescent="0.2">
      <c r="B62" s="18" t="s">
        <v>243</v>
      </c>
      <c r="C62" s="18">
        <v>101</v>
      </c>
      <c r="D62" s="37" t="s">
        <v>235</v>
      </c>
      <c r="E62" s="3">
        <f t="shared" si="15"/>
        <v>0.10989010989010989</v>
      </c>
      <c r="F62" s="1">
        <f t="shared" si="3"/>
        <v>0</v>
      </c>
      <c r="G62" s="18">
        <v>96</v>
      </c>
      <c r="H62" s="37" t="s">
        <v>235</v>
      </c>
      <c r="I62" s="3">
        <f t="shared" si="0"/>
        <v>5.4945054945054944E-2</v>
      </c>
      <c r="J62" s="1">
        <f t="shared" si="1"/>
        <v>0</v>
      </c>
      <c r="K62" s="18">
        <v>92</v>
      </c>
      <c r="L62" s="37" t="s">
        <v>235</v>
      </c>
      <c r="M62" s="3">
        <f t="shared" si="12"/>
        <v>1.098901098901099E-2</v>
      </c>
      <c r="N62" s="1">
        <f t="shared" si="4"/>
        <v>0</v>
      </c>
      <c r="O62" s="18">
        <f>'execs Table 7'!C52</f>
        <v>91</v>
      </c>
      <c r="P62" s="18">
        <f>'execs Table 7'!D52</f>
        <v>0.29100000858306885</v>
      </c>
      <c r="Q62" s="3">
        <f t="shared" si="5"/>
        <v>0</v>
      </c>
      <c r="R62" s="1">
        <f t="shared" si="6"/>
        <v>1</v>
      </c>
      <c r="S62" s="18">
        <f>MIN('execs Table 7'!C52,'execs Table 7'!E52,'execs Table 7'!G52,'execs Table 7'!I52,'execs Table 7'!K52,'execs Table 7'!M52,'execs Table 7'!O52,'execs Table 7'!Q52,'execs Table 7'!S52,'execs Table 7'!U52)</f>
        <v>91</v>
      </c>
      <c r="T62" s="18">
        <f>SUM('execs Table 7'!D52,'execs Table 7'!F52,'execs Table 7'!H52,'execs Table 7'!J52,'execs Table 7'!L52,'execs Table 7'!N52,'execs Table 7'!P52,'execs Table 7'!R52,'execs Table 7'!T52,'execs Table 7'!V52)</f>
        <v>2.4659999758005142</v>
      </c>
      <c r="U62" s="3">
        <f t="shared" si="7"/>
        <v>0</v>
      </c>
      <c r="V62" s="1">
        <f t="shared" si="8"/>
        <v>1</v>
      </c>
      <c r="W62" s="18">
        <f>MIN('execs Table 7'!G52,'execs Table 7'!I52,'execs Table 7'!K52,'execs Table 7'!M52,'execs Table 7'!O52,'execs Table 7'!Q52,'execs Table 7'!S52,'execs Table 7'!U52,'execs Table 7'!W52,'execs Table 7'!Y52,'execs Table 7'!C52,'execs Table 7'!E52,'execs Table 7'!AA52,'execs Table 7'!AC52,'execs Table 7'!AE52,'execs Table 7'!AG52,'execs Table 7'!AI52,'execs Table 7'!AK52,'execs Table 7'!AM52,'execs Table 7'!AO52)</f>
        <v>91</v>
      </c>
      <c r="X62" s="18">
        <f>SUM('execs Table 7'!H52,'execs Table 7'!J52,'execs Table 7'!L52,'execs Table 7'!N52,'execs Table 7'!P52,'execs Table 7'!R52,'execs Table 7'!T52,'execs Table 7'!V52,'execs Table 7'!X52,'execs Table 7'!Z52,'execs Table 7'!D52,'execs Table 7'!F52,'execs Table 7'!AB52,'execs Table 7'!AD52,'execs Table 7'!AF52,'execs Table 7'!AH52,'execs Table 7'!AJ52,'execs Table 7'!AL52,'execs Table 7'!AN52,'execs Table 7'!AP52)</f>
        <v>4.988999992609024</v>
      </c>
      <c r="Y62" s="3">
        <f t="shared" si="13"/>
        <v>0</v>
      </c>
      <c r="Z62" s="1">
        <f t="shared" si="14"/>
        <v>1</v>
      </c>
      <c r="AR62" s="2">
        <f t="shared" si="11"/>
        <v>91</v>
      </c>
    </row>
    <row r="63" spans="2:44" ht="16" x14ac:dyDescent="0.2">
      <c r="B63" s="18" t="s">
        <v>244</v>
      </c>
      <c r="C63" s="18">
        <v>170</v>
      </c>
      <c r="D63" s="37" t="s">
        <v>235</v>
      </c>
      <c r="E63" s="3">
        <f t="shared" si="15"/>
        <v>8.2802547770700632E-2</v>
      </c>
      <c r="F63" s="1">
        <f t="shared" si="3"/>
        <v>0</v>
      </c>
      <c r="G63" s="18">
        <v>168</v>
      </c>
      <c r="H63" s="37" t="s">
        <v>235</v>
      </c>
      <c r="I63" s="3">
        <f t="shared" si="0"/>
        <v>7.0063694267515922E-2</v>
      </c>
      <c r="J63" s="1">
        <f t="shared" si="1"/>
        <v>0</v>
      </c>
      <c r="K63" s="18">
        <v>169</v>
      </c>
      <c r="L63" s="37" t="s">
        <v>235</v>
      </c>
      <c r="M63" s="3">
        <f t="shared" si="12"/>
        <v>7.6433121019108277E-2</v>
      </c>
      <c r="N63" s="1">
        <f t="shared" si="4"/>
        <v>0</v>
      </c>
      <c r="O63" s="18">
        <f>'execs Table 7'!C53</f>
        <v>158</v>
      </c>
      <c r="P63" s="18">
        <f>'execs Table 7'!D53</f>
        <v>0.64399999380111694</v>
      </c>
      <c r="Q63" s="3">
        <f t="shared" si="5"/>
        <v>6.369426751592357E-3</v>
      </c>
      <c r="R63" s="1">
        <f t="shared" si="6"/>
        <v>0</v>
      </c>
      <c r="S63" s="18">
        <f>MIN('execs Table 7'!C53,'execs Table 7'!E53,'execs Table 7'!G53,'execs Table 7'!I53,'execs Table 7'!K53,'execs Table 7'!M53,'execs Table 7'!O53,'execs Table 7'!Q53,'execs Table 7'!S53,'execs Table 7'!U53)</f>
        <v>157</v>
      </c>
      <c r="T63" s="18">
        <f>SUM('execs Table 7'!D53,'execs Table 7'!F53,'execs Table 7'!H53,'execs Table 7'!J53,'execs Table 7'!L53,'execs Table 7'!N53,'execs Table 7'!P53,'execs Table 7'!R53,'execs Table 7'!T53,'execs Table 7'!V53)</f>
        <v>5.6149999797344208</v>
      </c>
      <c r="U63" s="3">
        <f t="shared" si="7"/>
        <v>0</v>
      </c>
      <c r="V63" s="1">
        <f t="shared" si="8"/>
        <v>1</v>
      </c>
      <c r="W63" s="18">
        <f>MIN('execs Table 7'!G53,'execs Table 7'!I53,'execs Table 7'!K53,'execs Table 7'!M53,'execs Table 7'!O53,'execs Table 7'!Q53,'execs Table 7'!S53,'execs Table 7'!U53,'execs Table 7'!W53,'execs Table 7'!Y53,'execs Table 7'!C53,'execs Table 7'!E53,'execs Table 7'!AA53,'execs Table 7'!AC53,'execs Table 7'!AE53,'execs Table 7'!AG53,'execs Table 7'!AI53,'execs Table 7'!AK53,'execs Table 7'!AM53,'execs Table 7'!AO53)</f>
        <v>157</v>
      </c>
      <c r="X63" s="18">
        <f>SUM('execs Table 7'!H53,'execs Table 7'!J53,'execs Table 7'!L53,'execs Table 7'!N53,'execs Table 7'!P53,'execs Table 7'!R53,'execs Table 7'!T53,'execs Table 7'!V53,'execs Table 7'!X53,'execs Table 7'!Z53,'execs Table 7'!D53,'execs Table 7'!F53,'execs Table 7'!AB53,'execs Table 7'!AD53,'execs Table 7'!AF53,'execs Table 7'!AH53,'execs Table 7'!AJ53,'execs Table 7'!AL53,'execs Table 7'!AN53,'execs Table 7'!AP53)</f>
        <v>11.35099995136261</v>
      </c>
      <c r="Y63" s="3">
        <f t="shared" si="13"/>
        <v>0</v>
      </c>
      <c r="Z63" s="1">
        <f t="shared" si="14"/>
        <v>1</v>
      </c>
      <c r="AR63" s="2">
        <f t="shared" si="11"/>
        <v>157</v>
      </c>
    </row>
    <row r="64" spans="2:44" ht="16" x14ac:dyDescent="0.2">
      <c r="B64" s="18" t="s">
        <v>245</v>
      </c>
      <c r="C64" s="18">
        <v>140</v>
      </c>
      <c r="D64" s="37" t="s">
        <v>235</v>
      </c>
      <c r="E64" s="3">
        <f t="shared" si="15"/>
        <v>8.5271317829457363E-2</v>
      </c>
      <c r="F64" s="1">
        <f t="shared" si="3"/>
        <v>0</v>
      </c>
      <c r="G64" s="18">
        <v>131</v>
      </c>
      <c r="H64" s="37" t="s">
        <v>235</v>
      </c>
      <c r="I64" s="3">
        <f t="shared" si="0"/>
        <v>1.5503875968992248E-2</v>
      </c>
      <c r="J64" s="1">
        <f t="shared" si="1"/>
        <v>0</v>
      </c>
      <c r="K64" s="18">
        <v>131</v>
      </c>
      <c r="L64" s="37" t="s">
        <v>235</v>
      </c>
      <c r="M64" s="3">
        <f t="shared" si="12"/>
        <v>1.5503875968992248E-2</v>
      </c>
      <c r="N64" s="1">
        <f t="shared" si="4"/>
        <v>0</v>
      </c>
      <c r="O64" s="18">
        <f>'execs Table 7'!C54</f>
        <v>131</v>
      </c>
      <c r="P64" s="18">
        <f>'execs Table 7'!D54</f>
        <v>0.62400001287460327</v>
      </c>
      <c r="Q64" s="3">
        <f t="shared" si="5"/>
        <v>1.5503875968992248E-2</v>
      </c>
      <c r="R64" s="1">
        <f t="shared" si="6"/>
        <v>0</v>
      </c>
      <c r="S64" s="18">
        <f>MIN('execs Table 7'!C54,'execs Table 7'!E54,'execs Table 7'!G54,'execs Table 7'!I54,'execs Table 7'!K54,'execs Table 7'!M54,'execs Table 7'!O54,'execs Table 7'!Q54,'execs Table 7'!S54,'execs Table 7'!U54)</f>
        <v>129</v>
      </c>
      <c r="T64" s="18">
        <f>SUM('execs Table 7'!D54,'execs Table 7'!F54,'execs Table 7'!H54,'execs Table 7'!J54,'execs Table 7'!L54,'execs Table 7'!N54,'execs Table 7'!P54,'execs Table 7'!R54,'execs Table 7'!T54,'execs Table 7'!V54)</f>
        <v>5.9099999666213989</v>
      </c>
      <c r="U64" s="3">
        <f t="shared" si="7"/>
        <v>0</v>
      </c>
      <c r="V64" s="1">
        <f t="shared" si="8"/>
        <v>1</v>
      </c>
      <c r="W64" s="18">
        <f>MIN('execs Table 7'!G54,'execs Table 7'!I54,'execs Table 7'!K54,'execs Table 7'!M54,'execs Table 7'!O54,'execs Table 7'!Q54,'execs Table 7'!S54,'execs Table 7'!U54,'execs Table 7'!W54,'execs Table 7'!Y54,'execs Table 7'!C54,'execs Table 7'!E54,'execs Table 7'!AA54,'execs Table 7'!AC54,'execs Table 7'!AE54,'execs Table 7'!AG54,'execs Table 7'!AI54,'execs Table 7'!AK54,'execs Table 7'!AM54,'execs Table 7'!AO54)</f>
        <v>129</v>
      </c>
      <c r="X64" s="18">
        <f>SUM('execs Table 7'!H54,'execs Table 7'!J54,'execs Table 7'!L54,'execs Table 7'!N54,'execs Table 7'!P54,'execs Table 7'!R54,'execs Table 7'!T54,'execs Table 7'!V54,'execs Table 7'!X54,'execs Table 7'!Z54,'execs Table 7'!D54,'execs Table 7'!F54,'execs Table 7'!AB54,'execs Table 7'!AD54,'execs Table 7'!AF54,'execs Table 7'!AH54,'execs Table 7'!AJ54,'execs Table 7'!AL54,'execs Table 7'!AN54,'execs Table 7'!AP54)</f>
        <v>11.087999910116196</v>
      </c>
      <c r="Y64" s="3">
        <f t="shared" si="13"/>
        <v>0</v>
      </c>
      <c r="Z64" s="1">
        <f t="shared" si="14"/>
        <v>1</v>
      </c>
      <c r="AR64" s="2">
        <f t="shared" si="11"/>
        <v>129</v>
      </c>
    </row>
    <row r="65" spans="2:44" ht="16" x14ac:dyDescent="0.2">
      <c r="B65" s="18" t="s">
        <v>246</v>
      </c>
      <c r="C65" s="18">
        <v>156</v>
      </c>
      <c r="D65" s="37" t="s">
        <v>235</v>
      </c>
      <c r="E65" s="3">
        <f t="shared" si="15"/>
        <v>6.1224489795918366E-2</v>
      </c>
      <c r="F65" s="1">
        <f t="shared" si="3"/>
        <v>0</v>
      </c>
      <c r="G65" s="18">
        <v>155</v>
      </c>
      <c r="H65" s="37" t="s">
        <v>235</v>
      </c>
      <c r="I65" s="3">
        <f t="shared" si="0"/>
        <v>5.4421768707482991E-2</v>
      </c>
      <c r="J65" s="1">
        <f t="shared" si="1"/>
        <v>0</v>
      </c>
      <c r="K65" s="18">
        <v>154</v>
      </c>
      <c r="L65" s="37" t="s">
        <v>235</v>
      </c>
      <c r="M65" s="3">
        <f t="shared" si="12"/>
        <v>4.7619047619047616E-2</v>
      </c>
      <c r="N65" s="1">
        <f t="shared" si="4"/>
        <v>0</v>
      </c>
      <c r="O65" s="18">
        <f>'execs Table 7'!C55</f>
        <v>149</v>
      </c>
      <c r="P65" s="18">
        <f>'execs Table 7'!D55</f>
        <v>0.61699998378753662</v>
      </c>
      <c r="Q65" s="3">
        <f t="shared" si="5"/>
        <v>1.3605442176870748E-2</v>
      </c>
      <c r="R65" s="1">
        <f t="shared" si="6"/>
        <v>0</v>
      </c>
      <c r="S65" s="18">
        <f>MIN('execs Table 7'!C55,'execs Table 7'!E55,'execs Table 7'!G55,'execs Table 7'!I55,'execs Table 7'!K55,'execs Table 7'!M55,'execs Table 7'!O55,'execs Table 7'!Q55,'execs Table 7'!S55,'execs Table 7'!U55)</f>
        <v>147</v>
      </c>
      <c r="T65" s="18">
        <f>SUM('execs Table 7'!D55,'execs Table 7'!F55,'execs Table 7'!H55,'execs Table 7'!J55,'execs Table 7'!L55,'execs Table 7'!N55,'execs Table 7'!P55,'execs Table 7'!R55,'execs Table 7'!T55,'execs Table 7'!V55)</f>
        <v>9.4669999480247498</v>
      </c>
      <c r="U65" s="3">
        <f t="shared" si="7"/>
        <v>0</v>
      </c>
      <c r="V65" s="1">
        <f t="shared" si="8"/>
        <v>1</v>
      </c>
      <c r="W65" s="18">
        <f>MIN('execs Table 7'!G55,'execs Table 7'!I55,'execs Table 7'!K55,'execs Table 7'!M55,'execs Table 7'!O55,'execs Table 7'!Q55,'execs Table 7'!S55,'execs Table 7'!U55,'execs Table 7'!W55,'execs Table 7'!Y55,'execs Table 7'!C55,'execs Table 7'!E55,'execs Table 7'!AA55,'execs Table 7'!AC55,'execs Table 7'!AE55,'execs Table 7'!AG55,'execs Table 7'!AI55,'execs Table 7'!AK55,'execs Table 7'!AM55,'execs Table 7'!AO55)</f>
        <v>147</v>
      </c>
      <c r="X65" s="18">
        <f>SUM('execs Table 7'!H55,'execs Table 7'!J55,'execs Table 7'!L55,'execs Table 7'!N55,'execs Table 7'!P55,'execs Table 7'!R55,'execs Table 7'!T55,'execs Table 7'!V55,'execs Table 7'!X55,'execs Table 7'!Z55,'execs Table 7'!D55,'execs Table 7'!F55,'execs Table 7'!AB55,'execs Table 7'!AD55,'execs Table 7'!AF55,'execs Table 7'!AH55,'execs Table 7'!AJ55,'execs Table 7'!AL55,'execs Table 7'!AN55,'execs Table 7'!AP55)</f>
        <v>17.212999820709229</v>
      </c>
      <c r="Y65" s="3">
        <f t="shared" si="13"/>
        <v>0</v>
      </c>
      <c r="Z65" s="1">
        <f t="shared" si="14"/>
        <v>1</v>
      </c>
      <c r="AR65" s="2">
        <f t="shared" si="11"/>
        <v>147</v>
      </c>
    </row>
    <row r="66" spans="2:44" ht="16" x14ac:dyDescent="0.2">
      <c r="B66" s="18" t="s">
        <v>247</v>
      </c>
      <c r="C66" s="18">
        <v>180</v>
      </c>
      <c r="D66" s="37" t="s">
        <v>235</v>
      </c>
      <c r="E66" s="3">
        <f t="shared" si="15"/>
        <v>0.1111111111111111</v>
      </c>
      <c r="F66" s="1">
        <f t="shared" si="3"/>
        <v>0</v>
      </c>
      <c r="G66" s="18">
        <v>177</v>
      </c>
      <c r="H66" s="37" t="s">
        <v>235</v>
      </c>
      <c r="I66" s="3">
        <f t="shared" si="0"/>
        <v>9.2592592592592587E-2</v>
      </c>
      <c r="J66" s="1">
        <f t="shared" si="1"/>
        <v>0</v>
      </c>
      <c r="K66" s="18">
        <v>174</v>
      </c>
      <c r="L66" s="37" t="s">
        <v>235</v>
      </c>
      <c r="M66" s="3">
        <f t="shared" si="12"/>
        <v>7.407407407407407E-2</v>
      </c>
      <c r="N66" s="1">
        <f t="shared" si="4"/>
        <v>0</v>
      </c>
      <c r="O66" s="18">
        <f>'execs Table 7'!C56</f>
        <v>162</v>
      </c>
      <c r="P66" s="18">
        <f>'execs Table 7'!D56</f>
        <v>2.2730000019073486</v>
      </c>
      <c r="Q66" s="3">
        <f t="shared" si="5"/>
        <v>0</v>
      </c>
      <c r="R66" s="1">
        <f t="shared" si="6"/>
        <v>1</v>
      </c>
      <c r="S66" s="18">
        <f>MIN('execs Table 7'!C56,'execs Table 7'!E56,'execs Table 7'!G56,'execs Table 7'!I56,'execs Table 7'!K56,'execs Table 7'!M56,'execs Table 7'!O56,'execs Table 7'!Q56,'execs Table 7'!S56,'execs Table 7'!U56)</f>
        <v>162</v>
      </c>
      <c r="T66" s="18">
        <f>SUM('execs Table 7'!D56,'execs Table 7'!F56,'execs Table 7'!H56,'execs Table 7'!J56,'execs Table 7'!L56,'execs Table 7'!N56,'execs Table 7'!P56,'execs Table 7'!R56,'execs Table 7'!T56,'execs Table 7'!V56)</f>
        <v>21.560000419616699</v>
      </c>
      <c r="U66" s="3">
        <f t="shared" si="7"/>
        <v>0</v>
      </c>
      <c r="V66" s="1">
        <f t="shared" si="8"/>
        <v>1</v>
      </c>
      <c r="W66" s="18">
        <f>MIN('execs Table 7'!G56,'execs Table 7'!I56,'execs Table 7'!K56,'execs Table 7'!M56,'execs Table 7'!O56,'execs Table 7'!Q56,'execs Table 7'!S56,'execs Table 7'!U56,'execs Table 7'!W56,'execs Table 7'!Y56,'execs Table 7'!C56,'execs Table 7'!E56,'execs Table 7'!AA56,'execs Table 7'!AC56,'execs Table 7'!AE56,'execs Table 7'!AG56,'execs Table 7'!AI56,'execs Table 7'!AK56,'execs Table 7'!AM56,'execs Table 7'!AO56)</f>
        <v>162</v>
      </c>
      <c r="X66" s="18">
        <f>SUM('execs Table 7'!H56,'execs Table 7'!J56,'execs Table 7'!L56,'execs Table 7'!N56,'execs Table 7'!P56,'execs Table 7'!R56,'execs Table 7'!T56,'execs Table 7'!V56,'execs Table 7'!X56,'execs Table 7'!Z56,'execs Table 7'!D56,'execs Table 7'!F56,'execs Table 7'!AB56,'execs Table 7'!AD56,'execs Table 7'!AF56,'execs Table 7'!AH56,'execs Table 7'!AJ56,'execs Table 7'!AL56,'execs Table 7'!AN56,'execs Table 7'!AP56)</f>
        <v>40.097000479698181</v>
      </c>
      <c r="Y66" s="3">
        <f t="shared" si="13"/>
        <v>0</v>
      </c>
      <c r="Z66" s="1">
        <f t="shared" si="14"/>
        <v>1</v>
      </c>
      <c r="AR66" s="2">
        <f t="shared" si="11"/>
        <v>162</v>
      </c>
    </row>
    <row r="67" spans="2:44" ht="16" x14ac:dyDescent="0.2">
      <c r="B67" s="18" t="s">
        <v>248</v>
      </c>
      <c r="C67" s="18">
        <v>170</v>
      </c>
      <c r="D67" s="37" t="s">
        <v>235</v>
      </c>
      <c r="E67" s="3">
        <f t="shared" si="15"/>
        <v>0.11842105263157894</v>
      </c>
      <c r="F67" s="1">
        <f t="shared" si="3"/>
        <v>0</v>
      </c>
      <c r="G67" s="18">
        <v>164</v>
      </c>
      <c r="H67" s="37" t="s">
        <v>235</v>
      </c>
      <c r="I67" s="3">
        <f t="shared" si="0"/>
        <v>7.8947368421052627E-2</v>
      </c>
      <c r="J67" s="1">
        <f t="shared" si="1"/>
        <v>0</v>
      </c>
      <c r="K67" s="18">
        <v>163</v>
      </c>
      <c r="L67" s="37" t="s">
        <v>235</v>
      </c>
      <c r="M67" s="3">
        <f t="shared" si="12"/>
        <v>7.2368421052631582E-2</v>
      </c>
      <c r="N67" s="1">
        <f t="shared" si="4"/>
        <v>0</v>
      </c>
      <c r="O67" s="18">
        <f>'execs Table 7'!C57</f>
        <v>152</v>
      </c>
      <c r="P67" s="18">
        <f>'execs Table 7'!D57</f>
        <v>14.895000457763672</v>
      </c>
      <c r="Q67" s="3">
        <f t="shared" si="5"/>
        <v>0</v>
      </c>
      <c r="R67" s="1">
        <f t="shared" si="6"/>
        <v>1</v>
      </c>
      <c r="S67" s="18">
        <f>MIN('execs Table 7'!C57,'execs Table 7'!E57,'execs Table 7'!G57,'execs Table 7'!I57,'execs Table 7'!K57,'execs Table 7'!M57,'execs Table 7'!O57,'execs Table 7'!Q57,'execs Table 7'!S57,'execs Table 7'!U57)</f>
        <v>152</v>
      </c>
      <c r="T67" s="18">
        <f>SUM('execs Table 7'!D57,'execs Table 7'!F57,'execs Table 7'!H57,'execs Table 7'!J57,'execs Table 7'!L57,'execs Table 7'!N57,'execs Table 7'!P57,'execs Table 7'!R57,'execs Table 7'!T57,'execs Table 7'!V57)</f>
        <v>141.94599914550781</v>
      </c>
      <c r="U67" s="3">
        <f t="shared" si="7"/>
        <v>0</v>
      </c>
      <c r="V67" s="1">
        <f t="shared" si="8"/>
        <v>1</v>
      </c>
      <c r="W67" s="18">
        <f>MIN('execs Table 7'!G57,'execs Table 7'!I57,'execs Table 7'!K57,'execs Table 7'!M57,'execs Table 7'!O57,'execs Table 7'!Q57,'execs Table 7'!S57,'execs Table 7'!U57,'execs Table 7'!W57,'execs Table 7'!Y57,'execs Table 7'!C57,'execs Table 7'!E57,'execs Table 7'!AA57,'execs Table 7'!AC57,'execs Table 7'!AE57,'execs Table 7'!AG57,'execs Table 7'!AI57,'execs Table 7'!AK57,'execs Table 7'!AM57,'execs Table 7'!AO57)</f>
        <v>152</v>
      </c>
      <c r="X67" s="18">
        <f>SUM('execs Table 7'!H57,'execs Table 7'!J57,'execs Table 7'!L57,'execs Table 7'!N57,'execs Table 7'!P57,'execs Table 7'!R57,'execs Table 7'!T57,'execs Table 7'!V57,'execs Table 7'!X57,'execs Table 7'!Z57,'execs Table 7'!D57,'execs Table 7'!F57,'execs Table 7'!AB57,'execs Table 7'!AD57,'execs Table 7'!AF57,'execs Table 7'!AH57,'execs Table 7'!AJ57,'execs Table 7'!AL57,'execs Table 7'!AN57,'execs Table 7'!AP57)</f>
        <v>263.74399852752686</v>
      </c>
      <c r="Y67" s="3">
        <f t="shared" si="13"/>
        <v>0</v>
      </c>
      <c r="Z67" s="1">
        <f t="shared" si="14"/>
        <v>1</v>
      </c>
      <c r="AR67" s="2">
        <f t="shared" si="11"/>
        <v>152</v>
      </c>
    </row>
    <row r="68" spans="2:44" ht="16" x14ac:dyDescent="0.2">
      <c r="B68" s="18" t="s">
        <v>238</v>
      </c>
      <c r="C68" s="18">
        <v>46</v>
      </c>
      <c r="D68" s="37" t="s">
        <v>235</v>
      </c>
      <c r="E68" s="3">
        <f t="shared" si="15"/>
        <v>6.9767441860465115E-2</v>
      </c>
      <c r="F68" s="1">
        <f t="shared" si="3"/>
        <v>0</v>
      </c>
      <c r="G68" s="18">
        <v>44</v>
      </c>
      <c r="H68" s="37" t="s">
        <v>235</v>
      </c>
      <c r="I68" s="3">
        <f t="shared" si="0"/>
        <v>2.3255813953488372E-2</v>
      </c>
      <c r="J68" s="1">
        <f t="shared" si="1"/>
        <v>0</v>
      </c>
      <c r="K68" s="18">
        <v>44</v>
      </c>
      <c r="L68" s="37" t="s">
        <v>235</v>
      </c>
      <c r="M68" s="3">
        <f t="shared" si="12"/>
        <v>2.3255813953488372E-2</v>
      </c>
      <c r="N68" s="1">
        <f t="shared" si="4"/>
        <v>0</v>
      </c>
      <c r="O68" s="18">
        <f>'execs Table 7'!C58</f>
        <v>43</v>
      </c>
      <c r="P68" s="18">
        <f>'execs Table 7'!D58</f>
        <v>4.999999888241291E-3</v>
      </c>
      <c r="Q68" s="3">
        <f t="shared" si="5"/>
        <v>0</v>
      </c>
      <c r="R68" s="1">
        <f t="shared" si="6"/>
        <v>1</v>
      </c>
      <c r="S68" s="18">
        <f>MIN('execs Table 7'!C58,'execs Table 7'!E58,'execs Table 7'!G58,'execs Table 7'!I58,'execs Table 7'!K58,'execs Table 7'!M58,'execs Table 7'!O58,'execs Table 7'!Q58,'execs Table 7'!S58,'execs Table 7'!U58)</f>
        <v>43</v>
      </c>
      <c r="T68" s="18">
        <f>SUM('execs Table 7'!D58,'execs Table 7'!F58,'execs Table 7'!H58,'execs Table 7'!J58,'execs Table 7'!L58,'execs Table 7'!N58,'execs Table 7'!P58,'execs Table 7'!R58,'execs Table 7'!T58,'execs Table 7'!V58)</f>
        <v>7.200000062584877E-2</v>
      </c>
      <c r="U68" s="3">
        <f t="shared" si="7"/>
        <v>0</v>
      </c>
      <c r="V68" s="1">
        <f t="shared" si="8"/>
        <v>1</v>
      </c>
      <c r="W68" s="18">
        <f>MIN('execs Table 7'!G58,'execs Table 7'!I58,'execs Table 7'!K58,'execs Table 7'!M58,'execs Table 7'!O58,'execs Table 7'!Q58,'execs Table 7'!S58,'execs Table 7'!U58,'execs Table 7'!W58,'execs Table 7'!Y58,'execs Table 7'!C58,'execs Table 7'!E58,'execs Table 7'!AA58,'execs Table 7'!AC58,'execs Table 7'!AE58,'execs Table 7'!AG58,'execs Table 7'!AI58,'execs Table 7'!AK58,'execs Table 7'!AM58,'execs Table 7'!AO58)</f>
        <v>43</v>
      </c>
      <c r="X68" s="18">
        <f>SUM('execs Table 7'!H58,'execs Table 7'!J58,'execs Table 7'!L58,'execs Table 7'!N58,'execs Table 7'!P58,'execs Table 7'!R58,'execs Table 7'!T58,'execs Table 7'!V58,'execs Table 7'!X58,'execs Table 7'!Z58,'execs Table 7'!D58,'execs Table 7'!F58,'execs Table 7'!AB58,'execs Table 7'!AD58,'execs Table 7'!AF58,'execs Table 7'!AH58,'execs Table 7'!AJ58,'execs Table 7'!AL58,'execs Table 7'!AN58,'execs Table 7'!AP58)</f>
        <v>0.13900000136345625</v>
      </c>
      <c r="Y68" s="3">
        <f t="shared" si="13"/>
        <v>0</v>
      </c>
      <c r="Z68" s="1">
        <f t="shared" si="14"/>
        <v>1</v>
      </c>
      <c r="AR68" s="2">
        <f t="shared" si="11"/>
        <v>43</v>
      </c>
    </row>
    <row r="69" spans="2:44" ht="16" x14ac:dyDescent="0.2">
      <c r="B69" s="18" t="s">
        <v>237</v>
      </c>
      <c r="C69" s="18">
        <v>42</v>
      </c>
      <c r="D69" s="37" t="s">
        <v>235</v>
      </c>
      <c r="E69" s="3">
        <f t="shared" si="15"/>
        <v>7.6923076923076927E-2</v>
      </c>
      <c r="F69" s="1">
        <f t="shared" si="3"/>
        <v>0</v>
      </c>
      <c r="G69" s="18">
        <v>42</v>
      </c>
      <c r="H69" s="37" t="s">
        <v>235</v>
      </c>
      <c r="I69" s="3">
        <f t="shared" si="0"/>
        <v>7.6923076923076927E-2</v>
      </c>
      <c r="J69" s="1">
        <f t="shared" si="1"/>
        <v>0</v>
      </c>
      <c r="K69" s="18">
        <v>41</v>
      </c>
      <c r="L69" s="37" t="s">
        <v>235</v>
      </c>
      <c r="M69" s="3">
        <f t="shared" si="12"/>
        <v>5.128205128205128E-2</v>
      </c>
      <c r="N69" s="1">
        <f t="shared" si="4"/>
        <v>0</v>
      </c>
      <c r="O69" s="18">
        <f>'execs Table 7'!C59</f>
        <v>41</v>
      </c>
      <c r="P69" s="18">
        <f>'execs Table 7'!D59</f>
        <v>8.999999612569809E-3</v>
      </c>
      <c r="Q69" s="3">
        <f t="shared" si="5"/>
        <v>5.128205128205128E-2</v>
      </c>
      <c r="R69" s="1">
        <f t="shared" si="6"/>
        <v>0</v>
      </c>
      <c r="S69" s="18">
        <f>MIN('execs Table 7'!C59,'execs Table 7'!E59,'execs Table 7'!G59,'execs Table 7'!I59,'execs Table 7'!K59,'execs Table 7'!M59,'execs Table 7'!O59,'execs Table 7'!Q59,'execs Table 7'!S59,'execs Table 7'!U59)</f>
        <v>39</v>
      </c>
      <c r="T69" s="18">
        <f>SUM('execs Table 7'!D59,'execs Table 7'!F59,'execs Table 7'!H59,'execs Table 7'!J59,'execs Table 7'!L59,'execs Table 7'!N59,'execs Table 7'!P59,'execs Table 7'!R59,'execs Table 7'!T59,'execs Table 7'!V59)</f>
        <v>8.7000000290572643E-2</v>
      </c>
      <c r="U69" s="3">
        <f t="shared" si="7"/>
        <v>0</v>
      </c>
      <c r="V69" s="1">
        <f t="shared" si="8"/>
        <v>1</v>
      </c>
      <c r="W69" s="18">
        <f>MIN('execs Table 7'!G59,'execs Table 7'!I59,'execs Table 7'!K59,'execs Table 7'!M59,'execs Table 7'!O59,'execs Table 7'!Q59,'execs Table 7'!S59,'execs Table 7'!U59,'execs Table 7'!W59,'execs Table 7'!Y59,'execs Table 7'!C59,'execs Table 7'!E59,'execs Table 7'!AA59,'execs Table 7'!AC59,'execs Table 7'!AE59,'execs Table 7'!AG59,'execs Table 7'!AI59,'execs Table 7'!AK59,'execs Table 7'!AM59,'execs Table 7'!AO59)</f>
        <v>39</v>
      </c>
      <c r="X69" s="18">
        <f>SUM('execs Table 7'!H59,'execs Table 7'!J59,'execs Table 7'!L59,'execs Table 7'!N59,'execs Table 7'!P59,'execs Table 7'!R59,'execs Table 7'!T59,'execs Table 7'!V59,'execs Table 7'!X59,'execs Table 7'!Z59,'execs Table 7'!D59,'execs Table 7'!F59,'execs Table 7'!AB59,'execs Table 7'!AD59,'execs Table 7'!AF59,'execs Table 7'!AH59,'execs Table 7'!AJ59,'execs Table 7'!AL59,'execs Table 7'!AN59,'execs Table 7'!AP59)</f>
        <v>0.17399999964982271</v>
      </c>
      <c r="Y69" s="3">
        <f t="shared" si="13"/>
        <v>0</v>
      </c>
      <c r="Z69" s="1">
        <f t="shared" si="14"/>
        <v>1</v>
      </c>
      <c r="AR69" s="2">
        <f t="shared" si="11"/>
        <v>39</v>
      </c>
    </row>
    <row r="70" spans="2:44" ht="16" x14ac:dyDescent="0.2">
      <c r="B70" s="18" t="s">
        <v>239</v>
      </c>
      <c r="C70" s="18">
        <v>76</v>
      </c>
      <c r="D70" s="37" t="s">
        <v>235</v>
      </c>
      <c r="E70" s="3">
        <f t="shared" si="15"/>
        <v>0.10144927536231885</v>
      </c>
      <c r="F70" s="1">
        <f t="shared" si="3"/>
        <v>0</v>
      </c>
      <c r="G70" s="18">
        <v>73</v>
      </c>
      <c r="H70" s="37" t="s">
        <v>235</v>
      </c>
      <c r="I70" s="3">
        <f t="shared" si="0"/>
        <v>5.7971014492753624E-2</v>
      </c>
      <c r="J70" s="1">
        <f t="shared" si="1"/>
        <v>0</v>
      </c>
      <c r="K70" s="18">
        <v>72</v>
      </c>
      <c r="L70" s="37" t="s">
        <v>235</v>
      </c>
      <c r="M70" s="3">
        <f t="shared" si="12"/>
        <v>4.3478260869565216E-2</v>
      </c>
      <c r="N70" s="1">
        <f t="shared" si="4"/>
        <v>0</v>
      </c>
      <c r="O70" s="18">
        <f>'execs Table 7'!C60</f>
        <v>70</v>
      </c>
      <c r="P70" s="18">
        <f>'execs Table 7'!D60</f>
        <v>4.0000001899898052E-3</v>
      </c>
      <c r="Q70" s="3">
        <f t="shared" si="5"/>
        <v>1.4492753623188406E-2</v>
      </c>
      <c r="R70" s="1">
        <f t="shared" si="6"/>
        <v>0</v>
      </c>
      <c r="S70" s="18">
        <f>MIN('execs Table 7'!C60,'execs Table 7'!E60,'execs Table 7'!G60,'execs Table 7'!I60,'execs Table 7'!K60,'execs Table 7'!M60,'execs Table 7'!O60,'execs Table 7'!Q60,'execs Table 7'!S60,'execs Table 7'!U60)</f>
        <v>69</v>
      </c>
      <c r="T70" s="18">
        <f>SUM('execs Table 7'!D60,'execs Table 7'!F60,'execs Table 7'!H60,'execs Table 7'!J60,'execs Table 7'!L60,'execs Table 7'!N60,'execs Table 7'!P60,'execs Table 7'!R60,'execs Table 7'!T60,'execs Table 7'!V60)</f>
        <v>5.4000000935047865E-2</v>
      </c>
      <c r="U70" s="3">
        <f t="shared" si="7"/>
        <v>0</v>
      </c>
      <c r="V70" s="1">
        <f t="shared" si="8"/>
        <v>1</v>
      </c>
      <c r="W70" s="18">
        <f>MIN('execs Table 7'!G60,'execs Table 7'!I60,'execs Table 7'!K60,'execs Table 7'!M60,'execs Table 7'!O60,'execs Table 7'!Q60,'execs Table 7'!S60,'execs Table 7'!U60,'execs Table 7'!W60,'execs Table 7'!Y60,'execs Table 7'!C60,'execs Table 7'!E60,'execs Table 7'!AA60,'execs Table 7'!AC60,'execs Table 7'!AE60,'execs Table 7'!AG60,'execs Table 7'!AI60,'execs Table 7'!AK60,'execs Table 7'!AM60,'execs Table 7'!AO60)</f>
        <v>69</v>
      </c>
      <c r="X70" s="18">
        <f>SUM('execs Table 7'!H60,'execs Table 7'!J60,'execs Table 7'!L60,'execs Table 7'!N60,'execs Table 7'!P60,'execs Table 7'!R60,'execs Table 7'!T60,'execs Table 7'!V60,'execs Table 7'!X60,'execs Table 7'!Z60,'execs Table 7'!D60,'execs Table 7'!F60,'execs Table 7'!AB60,'execs Table 7'!AD60,'execs Table 7'!AF60,'execs Table 7'!AH60,'execs Table 7'!AJ60,'execs Table 7'!AL60,'execs Table 7'!AN60,'execs Table 7'!AP60)</f>
        <v>9.9000001326203346E-2</v>
      </c>
      <c r="Y70" s="3">
        <f t="shared" si="13"/>
        <v>0</v>
      </c>
      <c r="Z70" s="1">
        <f t="shared" si="14"/>
        <v>1</v>
      </c>
      <c r="AR70" s="2">
        <f t="shared" si="11"/>
        <v>69</v>
      </c>
    </row>
    <row r="71" spans="2:44" ht="16" x14ac:dyDescent="0.2">
      <c r="B71" s="18" t="s">
        <v>240</v>
      </c>
      <c r="C71" s="18">
        <v>49</v>
      </c>
      <c r="D71" s="37" t="s">
        <v>235</v>
      </c>
      <c r="E71" s="3">
        <f t="shared" si="15"/>
        <v>8.8888888888888892E-2</v>
      </c>
      <c r="F71" s="1">
        <f t="shared" si="3"/>
        <v>0</v>
      </c>
      <c r="G71" s="18">
        <v>48</v>
      </c>
      <c r="H71" s="37" t="s">
        <v>235</v>
      </c>
      <c r="I71" s="3">
        <f t="shared" si="0"/>
        <v>6.6666666666666666E-2</v>
      </c>
      <c r="J71" s="1">
        <f t="shared" si="1"/>
        <v>0</v>
      </c>
      <c r="K71" s="18">
        <v>49</v>
      </c>
      <c r="L71" s="37" t="s">
        <v>235</v>
      </c>
      <c r="M71" s="3">
        <f t="shared" si="12"/>
        <v>8.8888888888888892E-2</v>
      </c>
      <c r="N71" s="1">
        <f t="shared" si="4"/>
        <v>0</v>
      </c>
      <c r="O71" s="18">
        <f>'execs Table 7'!C61</f>
        <v>45</v>
      </c>
      <c r="P71" s="18">
        <f>'execs Table 7'!D61</f>
        <v>2.9999999329447746E-2</v>
      </c>
      <c r="Q71" s="3">
        <f t="shared" si="5"/>
        <v>0</v>
      </c>
      <c r="R71" s="1">
        <f t="shared" si="6"/>
        <v>1</v>
      </c>
      <c r="S71" s="18">
        <f>MIN('execs Table 7'!C61,'execs Table 7'!E61,'execs Table 7'!G61,'execs Table 7'!I61,'execs Table 7'!K61,'execs Table 7'!M61,'execs Table 7'!O61,'execs Table 7'!Q61,'execs Table 7'!S61,'execs Table 7'!U61)</f>
        <v>45</v>
      </c>
      <c r="T71" s="18">
        <f>SUM('execs Table 7'!D61,'execs Table 7'!F61,'execs Table 7'!H61,'execs Table 7'!J61,'execs Table 7'!L61,'execs Table 7'!N61,'execs Table 7'!P61,'execs Table 7'!R61,'execs Table 7'!T61,'execs Table 7'!V61)</f>
        <v>0.30299999564886093</v>
      </c>
      <c r="U71" s="3">
        <f t="shared" si="7"/>
        <v>0</v>
      </c>
      <c r="V71" s="1">
        <f t="shared" si="8"/>
        <v>1</v>
      </c>
      <c r="W71" s="18">
        <f>MIN('execs Table 7'!G61,'execs Table 7'!I61,'execs Table 7'!K61,'execs Table 7'!M61,'execs Table 7'!O61,'execs Table 7'!Q61,'execs Table 7'!S61,'execs Table 7'!U61,'execs Table 7'!W61,'execs Table 7'!Y61,'execs Table 7'!C61,'execs Table 7'!E61,'execs Table 7'!AA61,'execs Table 7'!AC61,'execs Table 7'!AE61,'execs Table 7'!AG61,'execs Table 7'!AI61,'execs Table 7'!AK61,'execs Table 7'!AM61,'execs Table 7'!AO61)</f>
        <v>45</v>
      </c>
      <c r="X71" s="18">
        <f>SUM('execs Table 7'!H61,'execs Table 7'!J61,'execs Table 7'!L61,'execs Table 7'!N61,'execs Table 7'!P61,'execs Table 7'!R61,'execs Table 7'!T61,'execs Table 7'!V61,'execs Table 7'!X61,'execs Table 7'!Z61,'execs Table 7'!D61,'execs Table 7'!F61,'execs Table 7'!AB61,'execs Table 7'!AD61,'execs Table 7'!AF61,'execs Table 7'!AH61,'execs Table 7'!AJ61,'execs Table 7'!AL61,'execs Table 7'!AN61,'execs Table 7'!AP61)</f>
        <v>0.60099999792873859</v>
      </c>
      <c r="Y71" s="3">
        <f t="shared" si="13"/>
        <v>0</v>
      </c>
      <c r="Z71" s="1">
        <f t="shared" si="14"/>
        <v>1</v>
      </c>
      <c r="AR71" s="2">
        <f t="shared" si="11"/>
        <v>45</v>
      </c>
    </row>
    <row r="72" spans="2:44" ht="16" x14ac:dyDescent="0.2">
      <c r="B72" s="18" t="s">
        <v>249</v>
      </c>
      <c r="C72" s="18">
        <v>350</v>
      </c>
      <c r="D72" s="37" t="s">
        <v>235</v>
      </c>
      <c r="E72" s="3">
        <f t="shared" si="15"/>
        <v>6.7073170731707321E-2</v>
      </c>
      <c r="F72" s="1">
        <f t="shared" si="3"/>
        <v>0</v>
      </c>
      <c r="G72" s="18">
        <v>341</v>
      </c>
      <c r="H72" s="37" t="s">
        <v>235</v>
      </c>
      <c r="I72" s="3">
        <f t="shared" si="0"/>
        <v>3.9634146341463415E-2</v>
      </c>
      <c r="J72" s="1">
        <f t="shared" si="1"/>
        <v>0</v>
      </c>
      <c r="K72" s="18">
        <v>340</v>
      </c>
      <c r="L72" s="37" t="s">
        <v>235</v>
      </c>
      <c r="M72" s="3">
        <f t="shared" si="12"/>
        <v>3.6585365853658534E-2</v>
      </c>
      <c r="N72" s="1">
        <f t="shared" si="4"/>
        <v>0</v>
      </c>
      <c r="O72" s="18">
        <f>'execs Table 7'!C62</f>
        <v>331</v>
      </c>
      <c r="P72" s="18">
        <f>'execs Table 7'!D62</f>
        <v>9.9759998321533203</v>
      </c>
      <c r="Q72" s="3">
        <f t="shared" si="5"/>
        <v>9.1463414634146336E-3</v>
      </c>
      <c r="R72" s="1">
        <f t="shared" si="6"/>
        <v>0</v>
      </c>
      <c r="S72" s="18">
        <f>MIN('execs Table 7'!C62,'execs Table 7'!E62,'execs Table 7'!G62,'execs Table 7'!I62,'execs Table 7'!K62,'execs Table 7'!M62,'execs Table 7'!O62,'execs Table 7'!Q62,'execs Table 7'!S62,'execs Table 7'!U62)</f>
        <v>328</v>
      </c>
      <c r="T72" s="18">
        <f>SUM('execs Table 7'!D62,'execs Table 7'!F62,'execs Table 7'!H62,'execs Table 7'!J62,'execs Table 7'!L62,'execs Table 7'!N62,'execs Table 7'!P62,'execs Table 7'!R62,'execs Table 7'!T62,'execs Table 7'!V62)</f>
        <v>73.716999530792236</v>
      </c>
      <c r="U72" s="3">
        <f t="shared" si="7"/>
        <v>0</v>
      </c>
      <c r="V72" s="1">
        <f t="shared" si="8"/>
        <v>1</v>
      </c>
      <c r="W72" s="18">
        <f>MIN('execs Table 7'!G62,'execs Table 7'!I62,'execs Table 7'!K62,'execs Table 7'!M62,'execs Table 7'!O62,'execs Table 7'!Q62,'execs Table 7'!S62,'execs Table 7'!U62,'execs Table 7'!W62,'execs Table 7'!Y62,'execs Table 7'!C62,'execs Table 7'!E62,'execs Table 7'!AA62,'execs Table 7'!AC62,'execs Table 7'!AE62,'execs Table 7'!AG62,'execs Table 7'!AI62,'execs Table 7'!AK62,'execs Table 7'!AM62,'execs Table 7'!AO62)</f>
        <v>328</v>
      </c>
      <c r="X72" s="18">
        <f>SUM('execs Table 7'!H62,'execs Table 7'!J62,'execs Table 7'!L62,'execs Table 7'!N62,'execs Table 7'!P62,'execs Table 7'!R62,'execs Table 7'!T62,'execs Table 7'!V62,'execs Table 7'!X62,'execs Table 7'!Z62,'execs Table 7'!D62,'execs Table 7'!F62,'execs Table 7'!AB62,'execs Table 7'!AD62,'execs Table 7'!AF62,'execs Table 7'!AH62,'execs Table 7'!AJ62,'execs Table 7'!AL62,'execs Table 7'!AN62,'execs Table 7'!AP62)</f>
        <v>143.00000071525574</v>
      </c>
      <c r="Y72" s="3">
        <f t="shared" si="13"/>
        <v>0</v>
      </c>
      <c r="Z72" s="1">
        <f t="shared" si="14"/>
        <v>1</v>
      </c>
      <c r="AR72" s="2">
        <f t="shared" si="11"/>
        <v>328</v>
      </c>
    </row>
    <row r="73" spans="2:44" ht="16" x14ac:dyDescent="0.2">
      <c r="B73" s="18" t="s">
        <v>250</v>
      </c>
      <c r="C73" s="18">
        <v>210</v>
      </c>
      <c r="D73" s="37" t="s">
        <v>235</v>
      </c>
      <c r="E73" s="3">
        <f t="shared" si="15"/>
        <v>6.0606060606060608E-2</v>
      </c>
      <c r="F73" s="1">
        <f t="shared" si="3"/>
        <v>0</v>
      </c>
      <c r="G73" s="18">
        <v>204</v>
      </c>
      <c r="H73" s="37" t="s">
        <v>235</v>
      </c>
      <c r="I73" s="3">
        <f t="shared" si="0"/>
        <v>3.0303030303030304E-2</v>
      </c>
      <c r="J73" s="1">
        <f t="shared" si="1"/>
        <v>0</v>
      </c>
      <c r="K73" s="37" t="s">
        <v>235</v>
      </c>
      <c r="L73" s="37" t="s">
        <v>235</v>
      </c>
      <c r="M73" s="3" t="e">
        <f t="shared" si="12"/>
        <v>#VALUE!</v>
      </c>
      <c r="N73" s="1">
        <f t="shared" si="4"/>
        <v>0</v>
      </c>
      <c r="O73" s="18">
        <f>'execs Table 7'!C63</f>
        <v>198</v>
      </c>
      <c r="P73" s="18">
        <f>'execs Table 7'!D63</f>
        <v>6.0170001983642578</v>
      </c>
      <c r="Q73" s="3">
        <f t="shared" si="5"/>
        <v>0</v>
      </c>
      <c r="R73" s="1">
        <f t="shared" si="6"/>
        <v>1</v>
      </c>
      <c r="S73" s="18">
        <f>MIN('execs Table 7'!C63,'execs Table 7'!E63,'execs Table 7'!G63,'execs Table 7'!I63,'execs Table 7'!K63,'execs Table 7'!M63,'execs Table 7'!O63,'execs Table 7'!Q63,'execs Table 7'!S63,'execs Table 7'!U63)</f>
        <v>198</v>
      </c>
      <c r="T73" s="18">
        <f>SUM('execs Table 7'!D63,'execs Table 7'!F63,'execs Table 7'!H63,'execs Table 7'!J63,'execs Table 7'!L63,'execs Table 7'!N63,'execs Table 7'!P63,'execs Table 7'!R63,'execs Table 7'!T63,'execs Table 7'!V63)</f>
        <v>49.973000764846802</v>
      </c>
      <c r="U73" s="3">
        <f t="shared" si="7"/>
        <v>0</v>
      </c>
      <c r="V73" s="1">
        <f t="shared" si="8"/>
        <v>1</v>
      </c>
      <c r="W73" s="18">
        <f>MIN('execs Table 7'!G63,'execs Table 7'!I63,'execs Table 7'!K63,'execs Table 7'!M63,'execs Table 7'!O63,'execs Table 7'!Q63,'execs Table 7'!S63,'execs Table 7'!U63,'execs Table 7'!W63,'execs Table 7'!Y63,'execs Table 7'!C63,'execs Table 7'!E63,'execs Table 7'!AA63,'execs Table 7'!AC63,'execs Table 7'!AE63,'execs Table 7'!AG63,'execs Table 7'!AI63,'execs Table 7'!AK63,'execs Table 7'!AM63,'execs Table 7'!AO63)</f>
        <v>198</v>
      </c>
      <c r="X73" s="18">
        <f>SUM('execs Table 7'!H63,'execs Table 7'!J63,'execs Table 7'!L63,'execs Table 7'!N63,'execs Table 7'!P63,'execs Table 7'!R63,'execs Table 7'!T63,'execs Table 7'!V63,'execs Table 7'!X63,'execs Table 7'!Z63,'execs Table 7'!D63,'execs Table 7'!F63,'execs Table 7'!AB63,'execs Table 7'!AD63,'execs Table 7'!AF63,'execs Table 7'!AH63,'execs Table 7'!AJ63,'execs Table 7'!AL63,'execs Table 7'!AN63,'execs Table 7'!AP63)</f>
        <v>93.035000324249268</v>
      </c>
      <c r="Y73" s="3">
        <f t="shared" si="13"/>
        <v>0</v>
      </c>
      <c r="Z73" s="1">
        <f t="shared" si="14"/>
        <v>1</v>
      </c>
      <c r="AR73" s="2">
        <f t="shared" si="11"/>
        <v>198</v>
      </c>
    </row>
    <row r="74" spans="2:44" ht="16" x14ac:dyDescent="0.2">
      <c r="B74" s="18" t="s">
        <v>80</v>
      </c>
      <c r="C74" s="18">
        <v>27</v>
      </c>
      <c r="D74" s="37" t="s">
        <v>235</v>
      </c>
      <c r="E74" s="3">
        <f t="shared" si="15"/>
        <v>0.5</v>
      </c>
      <c r="F74" s="1">
        <f t="shared" si="3"/>
        <v>0</v>
      </c>
      <c r="G74" s="18">
        <v>27</v>
      </c>
      <c r="H74" s="37" t="s">
        <v>235</v>
      </c>
      <c r="I74" s="3">
        <f t="shared" si="0"/>
        <v>0.5</v>
      </c>
      <c r="J74" s="1">
        <f t="shared" si="1"/>
        <v>0</v>
      </c>
      <c r="K74" s="18">
        <v>27</v>
      </c>
      <c r="L74" s="37" t="s">
        <v>235</v>
      </c>
      <c r="M74" s="3">
        <f t="shared" si="12"/>
        <v>0.5</v>
      </c>
      <c r="N74" s="1">
        <f t="shared" si="4"/>
        <v>0</v>
      </c>
      <c r="O74" s="18">
        <f>'execs Table 7'!C64</f>
        <v>18</v>
      </c>
      <c r="P74" s="18">
        <f>'execs Table 7'!D64</f>
        <v>11.564000129699707</v>
      </c>
      <c r="Q74" s="3">
        <f t="shared" si="5"/>
        <v>0</v>
      </c>
      <c r="R74" s="1">
        <f t="shared" si="6"/>
        <v>1</v>
      </c>
      <c r="S74" s="18">
        <f>MIN('execs Table 7'!C64,'execs Table 7'!E64,'execs Table 7'!G64,'execs Table 7'!I64,'execs Table 7'!K64,'execs Table 7'!M64,'execs Table 7'!O64,'execs Table 7'!Q64,'execs Table 7'!S64,'execs Table 7'!U64)</f>
        <v>18</v>
      </c>
      <c r="T74" s="18">
        <f>SUM('execs Table 7'!D64,'execs Table 7'!F64,'execs Table 7'!H64,'execs Table 7'!J64,'execs Table 7'!L64,'execs Table 7'!N64,'execs Table 7'!P64,'execs Table 7'!R64,'execs Table 7'!T64,'execs Table 7'!V64)</f>
        <v>114.49600124359131</v>
      </c>
      <c r="U74" s="3">
        <f t="shared" si="7"/>
        <v>0</v>
      </c>
      <c r="V74" s="1">
        <f t="shared" si="8"/>
        <v>1</v>
      </c>
      <c r="W74" s="18">
        <f>MIN('execs Table 7'!G64,'execs Table 7'!I64,'execs Table 7'!K64,'execs Table 7'!M64,'execs Table 7'!O64,'execs Table 7'!Q64,'execs Table 7'!S64,'execs Table 7'!U64,'execs Table 7'!W64,'execs Table 7'!Y64,'execs Table 7'!C64,'execs Table 7'!E64,'execs Table 7'!AA64,'execs Table 7'!AC64,'execs Table 7'!AE64,'execs Table 7'!AG64,'execs Table 7'!AI64,'execs Table 7'!AK64,'execs Table 7'!AM64,'execs Table 7'!AO64)</f>
        <v>18</v>
      </c>
      <c r="X74" s="18">
        <f>SUM('execs Table 7'!H64,'execs Table 7'!J64,'execs Table 7'!L64,'execs Table 7'!N64,'execs Table 7'!P64,'execs Table 7'!R64,'execs Table 7'!T64,'execs Table 7'!V64,'execs Table 7'!X64,'execs Table 7'!Z64,'execs Table 7'!D64,'execs Table 7'!F64,'execs Table 7'!AB64,'execs Table 7'!AD64,'execs Table 7'!AF64,'execs Table 7'!AH64,'execs Table 7'!AJ64,'execs Table 7'!AL64,'execs Table 7'!AN64,'execs Table 7'!AP64)</f>
        <v>219.45600032806396</v>
      </c>
      <c r="Y74" s="3">
        <f t="shared" si="13"/>
        <v>0</v>
      </c>
      <c r="Z74" s="1">
        <f t="shared" si="14"/>
        <v>1</v>
      </c>
      <c r="AR74" s="2">
        <f t="shared" si="11"/>
        <v>18</v>
      </c>
    </row>
    <row r="75" spans="2:44" ht="16" x14ac:dyDescent="0.2">
      <c r="B75" s="18" t="s">
        <v>81</v>
      </c>
      <c r="C75" s="18">
        <v>27</v>
      </c>
      <c r="D75" s="37" t="s">
        <v>235</v>
      </c>
      <c r="E75" s="3">
        <f t="shared" si="15"/>
        <v>0.5</v>
      </c>
      <c r="F75" s="1">
        <f t="shared" si="3"/>
        <v>0</v>
      </c>
      <c r="G75" s="18">
        <v>27</v>
      </c>
      <c r="H75" s="37" t="s">
        <v>235</v>
      </c>
      <c r="I75" s="3">
        <f t="shared" si="0"/>
        <v>0.5</v>
      </c>
      <c r="J75" s="1">
        <f t="shared" si="1"/>
        <v>0</v>
      </c>
      <c r="K75" s="18">
        <v>27</v>
      </c>
      <c r="L75" s="37" t="s">
        <v>235</v>
      </c>
      <c r="M75" s="3">
        <f t="shared" si="12"/>
        <v>0.5</v>
      </c>
      <c r="N75" s="1">
        <f t="shared" si="4"/>
        <v>0</v>
      </c>
      <c r="O75" s="18">
        <f>'execs Table 7'!C65</f>
        <v>18</v>
      </c>
      <c r="P75" s="18">
        <f>'execs Table 7'!D65</f>
        <v>11.578000068664551</v>
      </c>
      <c r="Q75" s="3">
        <f t="shared" si="5"/>
        <v>0</v>
      </c>
      <c r="R75" s="1">
        <f t="shared" si="6"/>
        <v>1</v>
      </c>
      <c r="S75" s="18">
        <f>MIN('execs Table 7'!C65,'execs Table 7'!E65,'execs Table 7'!G65,'execs Table 7'!I65,'execs Table 7'!K65,'execs Table 7'!M65,'execs Table 7'!O65,'execs Table 7'!Q65,'execs Table 7'!S65,'execs Table 7'!U65)</f>
        <v>18</v>
      </c>
      <c r="T75" s="18">
        <f>SUM('execs Table 7'!D65,'execs Table 7'!F65,'execs Table 7'!H65,'execs Table 7'!J65,'execs Table 7'!L65,'execs Table 7'!N65,'execs Table 7'!P65,'execs Table 7'!R65,'execs Table 7'!T65,'execs Table 7'!V65)</f>
        <v>114.8459997177124</v>
      </c>
      <c r="U75" s="3">
        <f t="shared" si="7"/>
        <v>0</v>
      </c>
      <c r="V75" s="1">
        <f t="shared" si="8"/>
        <v>1</v>
      </c>
      <c r="W75" s="18">
        <f>MIN('execs Table 7'!G65,'execs Table 7'!I65,'execs Table 7'!K65,'execs Table 7'!M65,'execs Table 7'!O65,'execs Table 7'!Q65,'execs Table 7'!S65,'execs Table 7'!U65,'execs Table 7'!W65,'execs Table 7'!Y65,'execs Table 7'!C65,'execs Table 7'!E65,'execs Table 7'!AA65,'execs Table 7'!AC65,'execs Table 7'!AE65,'execs Table 7'!AG65,'execs Table 7'!AI65,'execs Table 7'!AK65,'execs Table 7'!AM65,'execs Table 7'!AO65)</f>
        <v>18</v>
      </c>
      <c r="X75" s="18">
        <f>SUM('execs Table 7'!H65,'execs Table 7'!J65,'execs Table 7'!L65,'execs Table 7'!N65,'execs Table 7'!P65,'execs Table 7'!R65,'execs Table 7'!T65,'execs Table 7'!V65,'execs Table 7'!X65,'execs Table 7'!Z65,'execs Table 7'!D65,'execs Table 7'!F65,'execs Table 7'!AB65,'execs Table 7'!AD65,'execs Table 7'!AF65,'execs Table 7'!AH65,'execs Table 7'!AJ65,'execs Table 7'!AL65,'execs Table 7'!AN65,'execs Table 7'!AP65)</f>
        <v>222.25099945068359</v>
      </c>
      <c r="Y75" s="3">
        <f t="shared" si="13"/>
        <v>0</v>
      </c>
      <c r="Z75" s="1">
        <f t="shared" si="14"/>
        <v>1</v>
      </c>
      <c r="AR75" s="2">
        <f t="shared" si="11"/>
        <v>18</v>
      </c>
    </row>
    <row r="76" spans="2:44" ht="16" x14ac:dyDescent="0.2">
      <c r="B76" s="18" t="s">
        <v>82</v>
      </c>
      <c r="C76" s="18">
        <v>27</v>
      </c>
      <c r="D76" s="37" t="s">
        <v>235</v>
      </c>
      <c r="E76" s="3">
        <f t="shared" ref="E76:E107" si="16">(C76-$AR76)/$AR76</f>
        <v>0.5</v>
      </c>
      <c r="F76" s="1">
        <f t="shared" si="3"/>
        <v>0</v>
      </c>
      <c r="G76" s="18">
        <v>27</v>
      </c>
      <c r="H76" s="37" t="s">
        <v>235</v>
      </c>
      <c r="I76" s="3">
        <f t="shared" ref="I76:I128" si="17">(G76-$AR76)/$AR76</f>
        <v>0.5</v>
      </c>
      <c r="J76" s="1">
        <f t="shared" ref="J76:J128" si="18">IF(G76=$AR76,1,0)</f>
        <v>0</v>
      </c>
      <c r="K76" s="18">
        <v>27</v>
      </c>
      <c r="L76" s="37" t="s">
        <v>235</v>
      </c>
      <c r="M76" s="3">
        <f t="shared" si="12"/>
        <v>0.5</v>
      </c>
      <c r="N76" s="1">
        <f t="shared" si="4"/>
        <v>0</v>
      </c>
      <c r="O76" s="18">
        <f>'execs Table 7'!C66</f>
        <v>18</v>
      </c>
      <c r="P76" s="18">
        <f>'execs Table 7'!D66</f>
        <v>11.819999694824219</v>
      </c>
      <c r="Q76" s="3">
        <f t="shared" si="5"/>
        <v>0</v>
      </c>
      <c r="R76" s="1">
        <f t="shared" si="6"/>
        <v>1</v>
      </c>
      <c r="S76" s="18">
        <f>MIN('execs Table 7'!C66,'execs Table 7'!E66,'execs Table 7'!G66,'execs Table 7'!I66,'execs Table 7'!K66,'execs Table 7'!M66,'execs Table 7'!O66,'execs Table 7'!Q66,'execs Table 7'!S66,'execs Table 7'!U66)</f>
        <v>18</v>
      </c>
      <c r="T76" s="18">
        <f>SUM('execs Table 7'!D66,'execs Table 7'!F66,'execs Table 7'!H66,'execs Table 7'!J66,'execs Table 7'!L66,'execs Table 7'!N66,'execs Table 7'!P66,'execs Table 7'!R66,'execs Table 7'!T66,'execs Table 7'!V66)</f>
        <v>117.76299953460693</v>
      </c>
      <c r="U76" s="3">
        <f t="shared" si="7"/>
        <v>0</v>
      </c>
      <c r="V76" s="1">
        <f t="shared" si="8"/>
        <v>1</v>
      </c>
      <c r="W76" s="18">
        <f>MIN('execs Table 7'!G66,'execs Table 7'!I66,'execs Table 7'!K66,'execs Table 7'!M66,'execs Table 7'!O66,'execs Table 7'!Q66,'execs Table 7'!S66,'execs Table 7'!U66,'execs Table 7'!W66,'execs Table 7'!Y66,'execs Table 7'!C66,'execs Table 7'!E66,'execs Table 7'!AA66,'execs Table 7'!AC66,'execs Table 7'!AE66,'execs Table 7'!AG66,'execs Table 7'!AI66,'execs Table 7'!AK66,'execs Table 7'!AM66,'execs Table 7'!AO66)</f>
        <v>18</v>
      </c>
      <c r="X76" s="18">
        <f>SUM('execs Table 7'!H66,'execs Table 7'!J66,'execs Table 7'!L66,'execs Table 7'!N66,'execs Table 7'!P66,'execs Table 7'!R66,'execs Table 7'!T66,'execs Table 7'!V66,'execs Table 7'!X66,'execs Table 7'!Z66,'execs Table 7'!D66,'execs Table 7'!F66,'execs Table 7'!AB66,'execs Table 7'!AD66,'execs Table 7'!AF66,'execs Table 7'!AH66,'execs Table 7'!AJ66,'execs Table 7'!AL66,'execs Table 7'!AN66,'execs Table 7'!AP66)</f>
        <v>225.57499980926514</v>
      </c>
      <c r="Y76" s="3">
        <f t="shared" si="13"/>
        <v>0</v>
      </c>
      <c r="Z76" s="1">
        <f t="shared" si="14"/>
        <v>1</v>
      </c>
      <c r="AR76" s="2">
        <f t="shared" si="11"/>
        <v>18</v>
      </c>
    </row>
    <row r="77" spans="2:44" ht="16" x14ac:dyDescent="0.2">
      <c r="B77" s="18" t="s">
        <v>83</v>
      </c>
      <c r="C77" s="18">
        <v>27</v>
      </c>
      <c r="D77" s="37" t="s">
        <v>235</v>
      </c>
      <c r="E77" s="3">
        <f t="shared" si="16"/>
        <v>0.5</v>
      </c>
      <c r="F77" s="1">
        <f t="shared" ref="F77:F128" si="19">IF(C77=$AR77,1,0)</f>
        <v>0</v>
      </c>
      <c r="G77" s="18">
        <v>27</v>
      </c>
      <c r="H77" s="37" t="s">
        <v>235</v>
      </c>
      <c r="I77" s="3">
        <f t="shared" si="17"/>
        <v>0.5</v>
      </c>
      <c r="J77" s="1">
        <f t="shared" si="18"/>
        <v>0</v>
      </c>
      <c r="K77" s="18">
        <v>27</v>
      </c>
      <c r="L77" s="37" t="s">
        <v>235</v>
      </c>
      <c r="M77" s="3">
        <f t="shared" ref="M77:M128" si="20">(K77-$AR77)/$AR77</f>
        <v>0.5</v>
      </c>
      <c r="N77" s="1">
        <f t="shared" ref="N77:N128" si="21">IF(K77=$AR77,1,0)</f>
        <v>0</v>
      </c>
      <c r="O77" s="18">
        <f>'execs Table 7'!C67</f>
        <v>18</v>
      </c>
      <c r="P77" s="18">
        <f>'execs Table 7'!D67</f>
        <v>11.85099983215332</v>
      </c>
      <c r="Q77" s="3">
        <f t="shared" ref="Q77:Q128" si="22">(O77-$AR77)/$AR77</f>
        <v>0</v>
      </c>
      <c r="R77" s="1">
        <f t="shared" ref="R77:R128" si="23">IF(O77=$AR77,1,0)</f>
        <v>1</v>
      </c>
      <c r="S77" s="18">
        <f>MIN('execs Table 7'!C67,'execs Table 7'!E67,'execs Table 7'!G67,'execs Table 7'!I67,'execs Table 7'!K67,'execs Table 7'!M67,'execs Table 7'!O67,'execs Table 7'!Q67,'execs Table 7'!S67,'execs Table 7'!U67)</f>
        <v>18</v>
      </c>
      <c r="T77" s="18">
        <f>SUM('execs Table 7'!D67,'execs Table 7'!F67,'execs Table 7'!H67,'execs Table 7'!J67,'execs Table 7'!L67,'execs Table 7'!N67,'execs Table 7'!P67,'execs Table 7'!R67,'execs Table 7'!T67,'execs Table 7'!V67)</f>
        <v>117.88600063323975</v>
      </c>
      <c r="U77" s="3">
        <f t="shared" ref="U77:U128" si="24">(S77-$AR77)/$AR77</f>
        <v>0</v>
      </c>
      <c r="V77" s="1">
        <f t="shared" ref="V77:V128" si="25">IF(S77=$AR77,1,0)</f>
        <v>1</v>
      </c>
      <c r="W77" s="18">
        <f>MIN('execs Table 7'!G67,'execs Table 7'!I67,'execs Table 7'!K67,'execs Table 7'!M67,'execs Table 7'!O67,'execs Table 7'!Q67,'execs Table 7'!S67,'execs Table 7'!U67,'execs Table 7'!W67,'execs Table 7'!Y67,'execs Table 7'!C67,'execs Table 7'!E67,'execs Table 7'!AA67,'execs Table 7'!AC67,'execs Table 7'!AE67,'execs Table 7'!AG67,'execs Table 7'!AI67,'execs Table 7'!AK67,'execs Table 7'!AM67,'execs Table 7'!AO67)</f>
        <v>18</v>
      </c>
      <c r="X77" s="18">
        <f>SUM('execs Table 7'!H67,'execs Table 7'!J67,'execs Table 7'!L67,'execs Table 7'!N67,'execs Table 7'!P67,'execs Table 7'!R67,'execs Table 7'!T67,'execs Table 7'!V67,'execs Table 7'!X67,'execs Table 7'!Z67,'execs Table 7'!D67,'execs Table 7'!F67,'execs Table 7'!AB67,'execs Table 7'!AD67,'execs Table 7'!AF67,'execs Table 7'!AH67,'execs Table 7'!AJ67,'execs Table 7'!AL67,'execs Table 7'!AN67,'execs Table 7'!AP67)</f>
        <v>225.89600086212158</v>
      </c>
      <c r="Y77" s="3">
        <f t="shared" si="13"/>
        <v>0</v>
      </c>
      <c r="Z77" s="1">
        <f t="shared" si="14"/>
        <v>1</v>
      </c>
      <c r="AR77" s="2">
        <f t="shared" ref="AR77:AR128" si="26">MIN(C77,G77,K77,O77,S77,W77,AA77,AE77,AI77,AM77)</f>
        <v>18</v>
      </c>
    </row>
    <row r="78" spans="2:44" ht="16" x14ac:dyDescent="0.2">
      <c r="B78" s="18" t="s">
        <v>84</v>
      </c>
      <c r="C78" s="18">
        <v>27</v>
      </c>
      <c r="D78" s="37" t="s">
        <v>235</v>
      </c>
      <c r="E78" s="3">
        <f t="shared" si="16"/>
        <v>0.5</v>
      </c>
      <c r="F78" s="1">
        <f t="shared" si="19"/>
        <v>0</v>
      </c>
      <c r="G78" s="18">
        <v>27</v>
      </c>
      <c r="H78" s="37" t="s">
        <v>235</v>
      </c>
      <c r="I78" s="3">
        <f t="shared" si="17"/>
        <v>0.5</v>
      </c>
      <c r="J78" s="1">
        <f t="shared" si="18"/>
        <v>0</v>
      </c>
      <c r="K78" s="18">
        <v>27</v>
      </c>
      <c r="L78" s="37" t="s">
        <v>235</v>
      </c>
      <c r="M78" s="3">
        <f t="shared" si="20"/>
        <v>0.5</v>
      </c>
      <c r="N78" s="1">
        <f t="shared" si="21"/>
        <v>0</v>
      </c>
      <c r="O78" s="18">
        <f>'execs Table 7'!C68</f>
        <v>18</v>
      </c>
      <c r="P78" s="18">
        <f>'execs Table 7'!D68</f>
        <v>11.869999885559082</v>
      </c>
      <c r="Q78" s="3">
        <f t="shared" si="22"/>
        <v>0</v>
      </c>
      <c r="R78" s="1">
        <f t="shared" si="23"/>
        <v>1</v>
      </c>
      <c r="S78" s="18">
        <f>MIN('execs Table 7'!C68,'execs Table 7'!E68,'execs Table 7'!G68,'execs Table 7'!I68,'execs Table 7'!K68,'execs Table 7'!M68,'execs Table 7'!O68,'execs Table 7'!Q68,'execs Table 7'!S68,'execs Table 7'!U68)</f>
        <v>18</v>
      </c>
      <c r="T78" s="18">
        <f>SUM('execs Table 7'!D68,'execs Table 7'!F68,'execs Table 7'!H68,'execs Table 7'!J68,'execs Table 7'!L68,'execs Table 7'!N68,'execs Table 7'!P68,'execs Table 7'!R68,'execs Table 7'!T68,'execs Table 7'!V68)</f>
        <v>117.57900047302246</v>
      </c>
      <c r="U78" s="3">
        <f t="shared" si="24"/>
        <v>0</v>
      </c>
      <c r="V78" s="1">
        <f t="shared" si="25"/>
        <v>1</v>
      </c>
      <c r="W78" s="18">
        <f>MIN('execs Table 7'!G68,'execs Table 7'!I68,'execs Table 7'!K68,'execs Table 7'!M68,'execs Table 7'!O68,'execs Table 7'!Q68,'execs Table 7'!S68,'execs Table 7'!U68,'execs Table 7'!W68,'execs Table 7'!Y68,'execs Table 7'!C68,'execs Table 7'!E68,'execs Table 7'!AA68,'execs Table 7'!AC68,'execs Table 7'!AE68,'execs Table 7'!AG68,'execs Table 7'!AI68,'execs Table 7'!AK68,'execs Table 7'!AM68,'execs Table 7'!AO68)</f>
        <v>18</v>
      </c>
      <c r="X78" s="18">
        <f>SUM('execs Table 7'!H68,'execs Table 7'!J68,'execs Table 7'!L68,'execs Table 7'!N68,'execs Table 7'!P68,'execs Table 7'!R68,'execs Table 7'!T68,'execs Table 7'!V68,'execs Table 7'!X68,'execs Table 7'!Z68,'execs Table 7'!D68,'execs Table 7'!F68,'execs Table 7'!AB68,'execs Table 7'!AD68,'execs Table 7'!AF68,'execs Table 7'!AH68,'execs Table 7'!AJ68,'execs Table 7'!AL68,'execs Table 7'!AN68,'execs Table 7'!AP68)</f>
        <v>225.28200054168701</v>
      </c>
      <c r="Y78" s="3">
        <f t="shared" si="13"/>
        <v>0</v>
      </c>
      <c r="Z78" s="1">
        <f t="shared" si="14"/>
        <v>1</v>
      </c>
      <c r="AR78" s="2">
        <f t="shared" si="26"/>
        <v>18</v>
      </c>
    </row>
    <row r="79" spans="2:44" ht="16" x14ac:dyDescent="0.2">
      <c r="B79" s="18" t="s">
        <v>85</v>
      </c>
      <c r="C79" s="18">
        <v>781</v>
      </c>
      <c r="D79" s="37" t="s">
        <v>235</v>
      </c>
      <c r="E79" s="3">
        <f t="shared" si="16"/>
        <v>0.17620481927710843</v>
      </c>
      <c r="F79" s="1">
        <f t="shared" si="19"/>
        <v>0</v>
      </c>
      <c r="G79" s="18">
        <v>777</v>
      </c>
      <c r="H79" s="37" t="s">
        <v>235</v>
      </c>
      <c r="I79" s="3">
        <f t="shared" si="17"/>
        <v>0.17018072289156627</v>
      </c>
      <c r="J79" s="1">
        <f t="shared" si="18"/>
        <v>0</v>
      </c>
      <c r="K79" s="37" t="s">
        <v>235</v>
      </c>
      <c r="L79" s="37" t="s">
        <v>235</v>
      </c>
      <c r="M79" s="3" t="e">
        <f t="shared" si="20"/>
        <v>#VALUE!</v>
      </c>
      <c r="N79" s="1">
        <f t="shared" si="21"/>
        <v>0</v>
      </c>
      <c r="O79" s="18">
        <f>'execs Table 7'!C69</f>
        <v>664</v>
      </c>
      <c r="P79" s="18">
        <f>'execs Table 7'!D69</f>
        <v>219.81900024414062</v>
      </c>
      <c r="Q79" s="3">
        <f t="shared" si="22"/>
        <v>0</v>
      </c>
      <c r="R79" s="1">
        <f t="shared" si="23"/>
        <v>1</v>
      </c>
      <c r="S79" s="18">
        <f>MIN('execs Table 7'!C69,'execs Table 7'!E69,'execs Table 7'!G69,'execs Table 7'!I69,'execs Table 7'!K69,'execs Table 7'!M69,'execs Table 7'!O69,'execs Table 7'!Q69,'execs Table 7'!S69,'execs Table 7'!U69)</f>
        <v>664</v>
      </c>
      <c r="T79" s="18">
        <f>SUM('execs Table 7'!D69,'execs Table 7'!F69,'execs Table 7'!H69,'execs Table 7'!J69,'execs Table 7'!L69,'execs Table 7'!N69,'execs Table 7'!P69,'execs Table 7'!R69,'execs Table 7'!T69,'execs Table 7'!V69)</f>
        <v>3274.7049865722656</v>
      </c>
      <c r="U79" s="3">
        <f t="shared" si="24"/>
        <v>0</v>
      </c>
      <c r="V79" s="1">
        <f t="shared" si="25"/>
        <v>1</v>
      </c>
      <c r="W79" s="18">
        <f>MIN('execs Table 7'!G69,'execs Table 7'!I69,'execs Table 7'!K69,'execs Table 7'!M69,'execs Table 7'!O69,'execs Table 7'!Q69,'execs Table 7'!S69,'execs Table 7'!U69,'execs Table 7'!W69,'execs Table 7'!Y69,'execs Table 7'!C69,'execs Table 7'!E69,'execs Table 7'!AA69,'execs Table 7'!AC69,'execs Table 7'!AE69,'execs Table 7'!AG69,'execs Table 7'!AI69,'execs Table 7'!AK69,'execs Table 7'!AM69,'execs Table 7'!AO69)</f>
        <v>664</v>
      </c>
      <c r="X79" s="18">
        <f>SUM('execs Table 7'!H69,'execs Table 7'!J69,'execs Table 7'!L69,'execs Table 7'!N69,'execs Table 7'!P69,'execs Table 7'!R69,'execs Table 7'!T69,'execs Table 7'!V69,'execs Table 7'!X69,'execs Table 7'!Z69,'execs Table 7'!D69,'execs Table 7'!F69,'execs Table 7'!AB69,'execs Table 7'!AD69,'execs Table 7'!AF69,'execs Table 7'!AH69,'execs Table 7'!AJ69,'execs Table 7'!AL69,'execs Table 7'!AN69,'execs Table 7'!AP69)</f>
        <v>6619.3639984130859</v>
      </c>
      <c r="Y79" s="3">
        <f t="shared" si="13"/>
        <v>0</v>
      </c>
      <c r="Z79" s="1">
        <f t="shared" si="14"/>
        <v>1</v>
      </c>
      <c r="AR79" s="2">
        <f t="shared" si="26"/>
        <v>664</v>
      </c>
    </row>
    <row r="80" spans="2:44" ht="16" x14ac:dyDescent="0.2">
      <c r="B80" s="18" t="s">
        <v>86</v>
      </c>
      <c r="C80" s="18">
        <v>36</v>
      </c>
      <c r="D80" s="37" t="s">
        <v>235</v>
      </c>
      <c r="E80" s="3">
        <f t="shared" si="16"/>
        <v>0.5</v>
      </c>
      <c r="F80" s="1">
        <f t="shared" si="19"/>
        <v>0</v>
      </c>
      <c r="G80" s="18">
        <v>35</v>
      </c>
      <c r="H80" s="37" t="s">
        <v>235</v>
      </c>
      <c r="I80" s="3">
        <f t="shared" si="17"/>
        <v>0.45833333333333331</v>
      </c>
      <c r="J80" s="1">
        <f t="shared" si="18"/>
        <v>0</v>
      </c>
      <c r="K80" s="18">
        <v>35</v>
      </c>
      <c r="L80" s="37" t="s">
        <v>235</v>
      </c>
      <c r="M80" s="3">
        <f t="shared" si="20"/>
        <v>0.45833333333333331</v>
      </c>
      <c r="N80" s="1">
        <f t="shared" si="21"/>
        <v>0</v>
      </c>
      <c r="O80" s="18">
        <f>'execs Table 7'!C70</f>
        <v>24</v>
      </c>
      <c r="P80" s="18">
        <f>'execs Table 7'!D70</f>
        <v>7.5019998550415039</v>
      </c>
      <c r="Q80" s="3">
        <f t="shared" si="22"/>
        <v>0</v>
      </c>
      <c r="R80" s="1">
        <f t="shared" si="23"/>
        <v>1</v>
      </c>
      <c r="S80" s="18">
        <f>MIN('execs Table 7'!C70,'execs Table 7'!E70,'execs Table 7'!G70,'execs Table 7'!I70,'execs Table 7'!K70,'execs Table 7'!M70,'execs Table 7'!O70,'execs Table 7'!Q70,'execs Table 7'!S70,'execs Table 7'!U70)</f>
        <v>24</v>
      </c>
      <c r="T80" s="18">
        <f>SUM('execs Table 7'!D70,'execs Table 7'!F70,'execs Table 7'!H70,'execs Table 7'!J70,'execs Table 7'!L70,'execs Table 7'!N70,'execs Table 7'!P70,'execs Table 7'!R70,'execs Table 7'!T70,'execs Table 7'!V70)</f>
        <v>78.901999950408936</v>
      </c>
      <c r="U80" s="3">
        <f t="shared" si="24"/>
        <v>0</v>
      </c>
      <c r="V80" s="1">
        <f t="shared" si="25"/>
        <v>1</v>
      </c>
      <c r="W80" s="18">
        <f>MIN('execs Table 7'!G70,'execs Table 7'!I70,'execs Table 7'!K70,'execs Table 7'!M70,'execs Table 7'!O70,'execs Table 7'!Q70,'execs Table 7'!S70,'execs Table 7'!U70,'execs Table 7'!W70,'execs Table 7'!Y70,'execs Table 7'!C70,'execs Table 7'!E70,'execs Table 7'!AA70,'execs Table 7'!AC70,'execs Table 7'!AE70,'execs Table 7'!AG70,'execs Table 7'!AI70,'execs Table 7'!AK70,'execs Table 7'!AM70,'execs Table 7'!AO70)</f>
        <v>24</v>
      </c>
      <c r="X80" s="18">
        <f>SUM('execs Table 7'!H70,'execs Table 7'!J70,'execs Table 7'!L70,'execs Table 7'!N70,'execs Table 7'!P70,'execs Table 7'!R70,'execs Table 7'!T70,'execs Table 7'!V70,'execs Table 7'!X70,'execs Table 7'!Z70,'execs Table 7'!D70,'execs Table 7'!F70,'execs Table 7'!AB70,'execs Table 7'!AD70,'execs Table 7'!AF70,'execs Table 7'!AH70,'execs Table 7'!AJ70,'execs Table 7'!AL70,'execs Table 7'!AN70,'execs Table 7'!AP70)</f>
        <v>150.24699974060059</v>
      </c>
      <c r="Y80" s="3">
        <f t="shared" si="13"/>
        <v>0</v>
      </c>
      <c r="Z80" s="1">
        <f t="shared" si="14"/>
        <v>1</v>
      </c>
      <c r="AR80" s="2">
        <f t="shared" si="26"/>
        <v>24</v>
      </c>
    </row>
    <row r="81" spans="2:44" ht="16" x14ac:dyDescent="0.2">
      <c r="B81" s="18" t="s">
        <v>87</v>
      </c>
      <c r="C81" s="18">
        <v>24</v>
      </c>
      <c r="D81" s="37" t="s">
        <v>235</v>
      </c>
      <c r="E81" s="3">
        <f t="shared" si="16"/>
        <v>1</v>
      </c>
      <c r="F81" s="1">
        <f t="shared" si="19"/>
        <v>0</v>
      </c>
      <c r="G81" s="18">
        <v>18</v>
      </c>
      <c r="H81" s="37" t="s">
        <v>235</v>
      </c>
      <c r="I81" s="3">
        <f t="shared" si="17"/>
        <v>0.5</v>
      </c>
      <c r="J81" s="1">
        <f t="shared" si="18"/>
        <v>0</v>
      </c>
      <c r="K81" s="37" t="s">
        <v>235</v>
      </c>
      <c r="L81" s="37" t="s">
        <v>235</v>
      </c>
      <c r="M81" s="3" t="e">
        <f t="shared" si="20"/>
        <v>#VALUE!</v>
      </c>
      <c r="N81" s="1">
        <f t="shared" si="21"/>
        <v>0</v>
      </c>
      <c r="O81" s="18">
        <f>'execs Table 7'!C71</f>
        <v>12</v>
      </c>
      <c r="P81" s="18">
        <f>'execs Table 7'!D71</f>
        <v>615.2860107421875</v>
      </c>
      <c r="Q81" s="3">
        <f t="shared" si="22"/>
        <v>0</v>
      </c>
      <c r="R81" s="1">
        <f t="shared" si="23"/>
        <v>1</v>
      </c>
      <c r="S81" s="18">
        <f>MIN('execs Table 7'!C71,'execs Table 7'!E71,'execs Table 7'!G71,'execs Table 7'!I71,'execs Table 7'!K71,'execs Table 7'!M71,'execs Table 7'!O71,'execs Table 7'!Q71,'execs Table 7'!S71,'execs Table 7'!U71)</f>
        <v>12</v>
      </c>
      <c r="T81" s="18">
        <f>SUM('execs Table 7'!D71,'execs Table 7'!F71,'execs Table 7'!H71,'execs Table 7'!J71,'execs Table 7'!L71,'execs Table 7'!N71,'execs Table 7'!P71,'execs Table 7'!R71,'execs Table 7'!T71,'execs Table 7'!V71)</f>
        <v>5065.8880310058594</v>
      </c>
      <c r="U81" s="3">
        <f t="shared" si="24"/>
        <v>0</v>
      </c>
      <c r="V81" s="1">
        <f t="shared" si="25"/>
        <v>1</v>
      </c>
      <c r="W81" s="18">
        <f>MIN('execs Table 7'!G71,'execs Table 7'!I71,'execs Table 7'!K71,'execs Table 7'!M71,'execs Table 7'!O71,'execs Table 7'!Q71,'execs Table 7'!S71,'execs Table 7'!U71,'execs Table 7'!W71,'execs Table 7'!Y71,'execs Table 7'!C71,'execs Table 7'!E71,'execs Table 7'!AA71,'execs Table 7'!AC71,'execs Table 7'!AE71,'execs Table 7'!AG71,'execs Table 7'!AI71,'execs Table 7'!AK71,'execs Table 7'!AM71,'execs Table 7'!AO71)</f>
        <v>12</v>
      </c>
      <c r="X81" s="18">
        <f>SUM('execs Table 7'!H71,'execs Table 7'!J71,'execs Table 7'!L71,'execs Table 7'!N71,'execs Table 7'!P71,'execs Table 7'!R71,'execs Table 7'!T71,'execs Table 7'!V71,'execs Table 7'!X71,'execs Table 7'!Z71,'execs Table 7'!D71,'execs Table 7'!F71,'execs Table 7'!AB71,'execs Table 7'!AD71,'execs Table 7'!AF71,'execs Table 7'!AH71,'execs Table 7'!AJ71,'execs Table 7'!AL71,'execs Table 7'!AN71,'execs Table 7'!AP71)</f>
        <v>9792.0890502929688</v>
      </c>
      <c r="Y81" s="3">
        <f t="shared" si="13"/>
        <v>0</v>
      </c>
      <c r="Z81" s="1">
        <f t="shared" si="14"/>
        <v>1</v>
      </c>
      <c r="AR81" s="2">
        <f t="shared" si="26"/>
        <v>12</v>
      </c>
    </row>
    <row r="82" spans="2:44" ht="16" x14ac:dyDescent="0.2">
      <c r="B82" s="18" t="s">
        <v>88</v>
      </c>
      <c r="C82" s="18">
        <v>285</v>
      </c>
      <c r="D82" s="37" t="s">
        <v>235</v>
      </c>
      <c r="E82" s="3">
        <f t="shared" si="16"/>
        <v>0.875</v>
      </c>
      <c r="F82" s="1">
        <f t="shared" si="19"/>
        <v>0</v>
      </c>
      <c r="G82" s="18">
        <v>287</v>
      </c>
      <c r="H82" s="37" t="s">
        <v>235</v>
      </c>
      <c r="I82" s="3">
        <f t="shared" si="17"/>
        <v>0.88815789473684215</v>
      </c>
      <c r="J82" s="1">
        <f t="shared" si="18"/>
        <v>0</v>
      </c>
      <c r="K82" s="37" t="s">
        <v>235</v>
      </c>
      <c r="L82" s="37" t="s">
        <v>235</v>
      </c>
      <c r="M82" s="3" t="e">
        <f t="shared" si="20"/>
        <v>#VALUE!</v>
      </c>
      <c r="N82" s="1">
        <f t="shared" si="21"/>
        <v>0</v>
      </c>
      <c r="O82" s="18">
        <f>'execs Table 7'!C72</f>
        <v>154</v>
      </c>
      <c r="P82" s="18">
        <f>'execs Table 7'!D72</f>
        <v>341.85699462890625</v>
      </c>
      <c r="Q82" s="3">
        <f t="shared" si="22"/>
        <v>1.3157894736842105E-2</v>
      </c>
      <c r="R82" s="1">
        <f t="shared" si="23"/>
        <v>0</v>
      </c>
      <c r="S82" s="18">
        <f>MIN('execs Table 7'!C72,'execs Table 7'!E72,'execs Table 7'!G72,'execs Table 7'!I72,'execs Table 7'!K72,'execs Table 7'!M72,'execs Table 7'!O72,'execs Table 7'!Q72,'execs Table 7'!S72,'execs Table 7'!U72)</f>
        <v>152</v>
      </c>
      <c r="T82" s="18">
        <f>SUM('execs Table 7'!D72,'execs Table 7'!F72,'execs Table 7'!H72,'execs Table 7'!J72,'execs Table 7'!L72,'execs Table 7'!N72,'execs Table 7'!P72,'execs Table 7'!R72,'execs Table 7'!T72,'execs Table 7'!V72)</f>
        <v>2280.947998046875</v>
      </c>
      <c r="U82" s="3">
        <f t="shared" si="24"/>
        <v>0</v>
      </c>
      <c r="V82" s="1">
        <f t="shared" si="25"/>
        <v>1</v>
      </c>
      <c r="W82" s="18">
        <f>MIN('execs Table 7'!G72,'execs Table 7'!I72,'execs Table 7'!K72,'execs Table 7'!M72,'execs Table 7'!O72,'execs Table 7'!Q72,'execs Table 7'!S72,'execs Table 7'!U72,'execs Table 7'!W72,'execs Table 7'!Y72,'execs Table 7'!C72,'execs Table 7'!E72,'execs Table 7'!AA72,'execs Table 7'!AC72,'execs Table 7'!AE72,'execs Table 7'!AG72,'execs Table 7'!AI72,'execs Table 7'!AK72,'execs Table 7'!AM72,'execs Table 7'!AO72)</f>
        <v>152</v>
      </c>
      <c r="X82" s="18">
        <f>SUM('execs Table 7'!H72,'execs Table 7'!J72,'execs Table 7'!L72,'execs Table 7'!N72,'execs Table 7'!P72,'execs Table 7'!R72,'execs Table 7'!T72,'execs Table 7'!V72,'execs Table 7'!X72,'execs Table 7'!Z72,'execs Table 7'!D72,'execs Table 7'!F72,'execs Table 7'!AB72,'execs Table 7'!AD72,'execs Table 7'!AF72,'execs Table 7'!AH72,'execs Table 7'!AJ72,'execs Table 7'!AL72,'execs Table 7'!AN72,'execs Table 7'!AP72)</f>
        <v>4200.6449737548828</v>
      </c>
      <c r="Y82" s="3">
        <f t="shared" si="13"/>
        <v>0</v>
      </c>
      <c r="Z82" s="1">
        <f t="shared" si="14"/>
        <v>1</v>
      </c>
      <c r="AR82" s="2">
        <f t="shared" si="26"/>
        <v>152</v>
      </c>
    </row>
    <row r="83" spans="2:44" ht="16" x14ac:dyDescent="0.2">
      <c r="B83" s="18" t="s">
        <v>89</v>
      </c>
      <c r="C83" s="18">
        <v>9</v>
      </c>
      <c r="D83" s="37" t="s">
        <v>235</v>
      </c>
      <c r="E83" s="3">
        <f t="shared" si="16"/>
        <v>0.5</v>
      </c>
      <c r="F83" s="1">
        <f t="shared" si="19"/>
        <v>0</v>
      </c>
      <c r="G83" s="18">
        <v>9</v>
      </c>
      <c r="H83" s="37" t="s">
        <v>235</v>
      </c>
      <c r="I83" s="3">
        <f t="shared" si="17"/>
        <v>0.5</v>
      </c>
      <c r="J83" s="1">
        <f t="shared" si="18"/>
        <v>0</v>
      </c>
      <c r="K83" s="18">
        <v>9</v>
      </c>
      <c r="L83" s="37" t="s">
        <v>235</v>
      </c>
      <c r="M83" s="3">
        <f t="shared" si="20"/>
        <v>0.5</v>
      </c>
      <c r="N83" s="1">
        <f t="shared" si="21"/>
        <v>0</v>
      </c>
      <c r="O83" s="18">
        <f>'execs Table 7'!C73</f>
        <v>6</v>
      </c>
      <c r="P83" s="18">
        <f>'execs Table 7'!D73</f>
        <v>5.2000001072883606E-2</v>
      </c>
      <c r="Q83" s="3">
        <f t="shared" si="22"/>
        <v>0</v>
      </c>
      <c r="R83" s="1">
        <f t="shared" si="23"/>
        <v>1</v>
      </c>
      <c r="S83" s="18">
        <f>MIN('execs Table 7'!C73,'execs Table 7'!E73,'execs Table 7'!G73,'execs Table 7'!I73,'execs Table 7'!K73,'execs Table 7'!M73,'execs Table 7'!O73,'execs Table 7'!Q73,'execs Table 7'!S73,'execs Table 7'!U73)</f>
        <v>6</v>
      </c>
      <c r="T83" s="18">
        <f>SUM('execs Table 7'!D73,'execs Table 7'!F73,'execs Table 7'!H73,'execs Table 7'!J73,'execs Table 7'!L73,'execs Table 7'!N73,'execs Table 7'!P73,'execs Table 7'!R73,'execs Table 7'!T73,'execs Table 7'!V73)</f>
        <v>0.54199999943375587</v>
      </c>
      <c r="U83" s="3">
        <f t="shared" si="24"/>
        <v>0</v>
      </c>
      <c r="V83" s="1">
        <f t="shared" si="25"/>
        <v>1</v>
      </c>
      <c r="W83" s="18">
        <f>MIN('execs Table 7'!G73,'execs Table 7'!I73,'execs Table 7'!K73,'execs Table 7'!M73,'execs Table 7'!O73,'execs Table 7'!Q73,'execs Table 7'!S73,'execs Table 7'!U73,'execs Table 7'!W73,'execs Table 7'!Y73,'execs Table 7'!C73,'execs Table 7'!E73,'execs Table 7'!AA73,'execs Table 7'!AC73,'execs Table 7'!AE73,'execs Table 7'!AG73,'execs Table 7'!AI73,'execs Table 7'!AK73,'execs Table 7'!AM73,'execs Table 7'!AO73)</f>
        <v>6</v>
      </c>
      <c r="X83" s="18">
        <f>SUM('execs Table 7'!H73,'execs Table 7'!J73,'execs Table 7'!L73,'execs Table 7'!N73,'execs Table 7'!P73,'execs Table 7'!R73,'execs Table 7'!T73,'execs Table 7'!V73,'execs Table 7'!X73,'execs Table 7'!Z73,'execs Table 7'!D73,'execs Table 7'!F73,'execs Table 7'!AB73,'execs Table 7'!AD73,'execs Table 7'!AF73,'execs Table 7'!AH73,'execs Table 7'!AJ73,'execs Table 7'!AL73,'execs Table 7'!AN73,'execs Table 7'!AP73)</f>
        <v>1.1179999932646751</v>
      </c>
      <c r="Y83" s="3">
        <f t="shared" si="13"/>
        <v>0</v>
      </c>
      <c r="Z83" s="1">
        <f t="shared" si="14"/>
        <v>1</v>
      </c>
      <c r="AR83" s="2">
        <f t="shared" si="26"/>
        <v>6</v>
      </c>
    </row>
    <row r="84" spans="2:44" ht="16" x14ac:dyDescent="0.2">
      <c r="B84" s="18" t="s">
        <v>90</v>
      </c>
      <c r="C84" s="18">
        <v>52</v>
      </c>
      <c r="D84" s="37" t="s">
        <v>235</v>
      </c>
      <c r="E84" s="3">
        <f t="shared" si="16"/>
        <v>0.23809523809523808</v>
      </c>
      <c r="F84" s="1">
        <f t="shared" si="19"/>
        <v>0</v>
      </c>
      <c r="G84" s="18">
        <v>52</v>
      </c>
      <c r="H84" s="37" t="s">
        <v>235</v>
      </c>
      <c r="I84" s="3">
        <f t="shared" si="17"/>
        <v>0.23809523809523808</v>
      </c>
      <c r="J84" s="1">
        <f t="shared" si="18"/>
        <v>0</v>
      </c>
      <c r="K84" s="18">
        <v>52</v>
      </c>
      <c r="L84" s="37" t="s">
        <v>235</v>
      </c>
      <c r="M84" s="3">
        <f t="shared" si="20"/>
        <v>0.23809523809523808</v>
      </c>
      <c r="N84" s="1">
        <f t="shared" si="21"/>
        <v>0</v>
      </c>
      <c r="O84" s="18">
        <f>'execs Table 7'!C74</f>
        <v>42</v>
      </c>
      <c r="P84" s="18">
        <f>'execs Table 7'!D74</f>
        <v>0.89300000667572021</v>
      </c>
      <c r="Q84" s="3">
        <f t="shared" si="22"/>
        <v>0</v>
      </c>
      <c r="R84" s="1">
        <f t="shared" si="23"/>
        <v>1</v>
      </c>
      <c r="S84" s="18">
        <f>MIN('execs Table 7'!C74,'execs Table 7'!E74,'execs Table 7'!G74,'execs Table 7'!I74,'execs Table 7'!K74,'execs Table 7'!M74,'execs Table 7'!O74,'execs Table 7'!Q74,'execs Table 7'!S74,'execs Table 7'!U74)</f>
        <v>42</v>
      </c>
      <c r="T84" s="18">
        <f>SUM('execs Table 7'!D74,'execs Table 7'!F74,'execs Table 7'!H74,'execs Table 7'!J74,'execs Table 7'!L74,'execs Table 7'!N74,'execs Table 7'!P74,'execs Table 7'!R74,'execs Table 7'!T74,'execs Table 7'!V74)</f>
        <v>8.0159999132156372</v>
      </c>
      <c r="U84" s="3">
        <f t="shared" si="24"/>
        <v>0</v>
      </c>
      <c r="V84" s="1">
        <f t="shared" si="25"/>
        <v>1</v>
      </c>
      <c r="W84" s="18">
        <f>MIN('execs Table 7'!G74,'execs Table 7'!I74,'execs Table 7'!K74,'execs Table 7'!M74,'execs Table 7'!O74,'execs Table 7'!Q74,'execs Table 7'!S74,'execs Table 7'!U74,'execs Table 7'!W74,'execs Table 7'!Y74,'execs Table 7'!C74,'execs Table 7'!E74,'execs Table 7'!AA74,'execs Table 7'!AC74,'execs Table 7'!AE74,'execs Table 7'!AG74,'execs Table 7'!AI74,'execs Table 7'!AK74,'execs Table 7'!AM74,'execs Table 7'!AO74)</f>
        <v>42</v>
      </c>
      <c r="X84" s="18">
        <f>SUM('execs Table 7'!H74,'execs Table 7'!J74,'execs Table 7'!L74,'execs Table 7'!N74,'execs Table 7'!P74,'execs Table 7'!R74,'execs Table 7'!T74,'execs Table 7'!V74,'execs Table 7'!X74,'execs Table 7'!Z74,'execs Table 7'!D74,'execs Table 7'!F74,'execs Table 7'!AB74,'execs Table 7'!AD74,'execs Table 7'!AF74,'execs Table 7'!AH74,'execs Table 7'!AJ74,'execs Table 7'!AL74,'execs Table 7'!AN74,'execs Table 7'!AP74)</f>
        <v>16.043999850749969</v>
      </c>
      <c r="Y84" s="3">
        <f t="shared" si="13"/>
        <v>0</v>
      </c>
      <c r="Z84" s="1">
        <f t="shared" si="14"/>
        <v>1</v>
      </c>
      <c r="AR84" s="2">
        <f t="shared" si="26"/>
        <v>42</v>
      </c>
    </row>
    <row r="85" spans="2:44" ht="16" x14ac:dyDescent="0.2">
      <c r="B85" s="18" t="s">
        <v>91</v>
      </c>
      <c r="C85" s="18">
        <v>52</v>
      </c>
      <c r="D85" s="37" t="s">
        <v>235</v>
      </c>
      <c r="E85" s="3">
        <f t="shared" si="16"/>
        <v>0.23809523809523808</v>
      </c>
      <c r="F85" s="1">
        <f t="shared" si="19"/>
        <v>0</v>
      </c>
      <c r="G85" s="18">
        <v>52</v>
      </c>
      <c r="H85" s="37" t="s">
        <v>235</v>
      </c>
      <c r="I85" s="3">
        <f t="shared" si="17"/>
        <v>0.23809523809523808</v>
      </c>
      <c r="J85" s="1">
        <f t="shared" si="18"/>
        <v>0</v>
      </c>
      <c r="K85" s="18">
        <v>52</v>
      </c>
      <c r="L85" s="37" t="s">
        <v>235</v>
      </c>
      <c r="M85" s="3">
        <f t="shared" si="20"/>
        <v>0.23809523809523808</v>
      </c>
      <c r="N85" s="1">
        <f t="shared" si="21"/>
        <v>0</v>
      </c>
      <c r="O85" s="18">
        <f>'execs Table 7'!C75</f>
        <v>42</v>
      </c>
      <c r="P85" s="18">
        <f>'execs Table 7'!D75</f>
        <v>0.89600002765655518</v>
      </c>
      <c r="Q85" s="3">
        <f t="shared" si="22"/>
        <v>0</v>
      </c>
      <c r="R85" s="1">
        <f t="shared" si="23"/>
        <v>1</v>
      </c>
      <c r="S85" s="18">
        <f>MIN('execs Table 7'!C75,'execs Table 7'!E75,'execs Table 7'!G75,'execs Table 7'!I75,'execs Table 7'!K75,'execs Table 7'!M75,'execs Table 7'!O75,'execs Table 7'!Q75,'execs Table 7'!S75,'execs Table 7'!U75)</f>
        <v>42</v>
      </c>
      <c r="T85" s="18">
        <f>SUM('execs Table 7'!D75,'execs Table 7'!F75,'execs Table 7'!H75,'execs Table 7'!J75,'execs Table 7'!L75,'execs Table 7'!N75,'execs Table 7'!P75,'execs Table 7'!R75,'execs Table 7'!T75,'execs Table 7'!V75)</f>
        <v>8.0250000357627869</v>
      </c>
      <c r="U85" s="3">
        <f t="shared" si="24"/>
        <v>0</v>
      </c>
      <c r="V85" s="1">
        <f t="shared" si="25"/>
        <v>1</v>
      </c>
      <c r="W85" s="18">
        <f>MIN('execs Table 7'!G75,'execs Table 7'!I75,'execs Table 7'!K75,'execs Table 7'!M75,'execs Table 7'!O75,'execs Table 7'!Q75,'execs Table 7'!S75,'execs Table 7'!U75,'execs Table 7'!W75,'execs Table 7'!Y75,'execs Table 7'!C75,'execs Table 7'!E75,'execs Table 7'!AA75,'execs Table 7'!AC75,'execs Table 7'!AE75,'execs Table 7'!AG75,'execs Table 7'!AI75,'execs Table 7'!AK75,'execs Table 7'!AM75,'execs Table 7'!AO75)</f>
        <v>42</v>
      </c>
      <c r="X85" s="18">
        <f>SUM('execs Table 7'!H75,'execs Table 7'!J75,'execs Table 7'!L75,'execs Table 7'!N75,'execs Table 7'!P75,'execs Table 7'!R75,'execs Table 7'!T75,'execs Table 7'!V75,'execs Table 7'!X75,'execs Table 7'!Z75,'execs Table 7'!D75,'execs Table 7'!F75,'execs Table 7'!AB75,'execs Table 7'!AD75,'execs Table 7'!AF75,'execs Table 7'!AH75,'execs Table 7'!AJ75,'execs Table 7'!AL75,'execs Table 7'!AN75,'execs Table 7'!AP75)</f>
        <v>16.031000018119812</v>
      </c>
      <c r="Y85" s="3">
        <f t="shared" si="13"/>
        <v>0</v>
      </c>
      <c r="Z85" s="1">
        <f t="shared" si="14"/>
        <v>1</v>
      </c>
      <c r="AR85" s="2">
        <f t="shared" si="26"/>
        <v>42</v>
      </c>
    </row>
    <row r="86" spans="2:44" ht="16" x14ac:dyDescent="0.2">
      <c r="B86" s="18" t="s">
        <v>92</v>
      </c>
      <c r="C86" s="18">
        <v>52</v>
      </c>
      <c r="D86" s="37" t="s">
        <v>235</v>
      </c>
      <c r="E86" s="3">
        <f t="shared" si="16"/>
        <v>0.23809523809523808</v>
      </c>
      <c r="F86" s="1">
        <f t="shared" si="19"/>
        <v>0</v>
      </c>
      <c r="G86" s="18">
        <v>52</v>
      </c>
      <c r="H86" s="37" t="s">
        <v>235</v>
      </c>
      <c r="I86" s="3">
        <f t="shared" si="17"/>
        <v>0.23809523809523808</v>
      </c>
      <c r="J86" s="1">
        <f t="shared" si="18"/>
        <v>0</v>
      </c>
      <c r="K86" s="18">
        <v>52</v>
      </c>
      <c r="L86" s="37" t="s">
        <v>235</v>
      </c>
      <c r="M86" s="3">
        <f t="shared" si="20"/>
        <v>0.23809523809523808</v>
      </c>
      <c r="N86" s="1">
        <f t="shared" si="21"/>
        <v>0</v>
      </c>
      <c r="O86" s="18">
        <f>'execs Table 7'!C76</f>
        <v>42</v>
      </c>
      <c r="P86" s="18">
        <f>'execs Table 7'!D76</f>
        <v>0.90200001001358032</v>
      </c>
      <c r="Q86" s="3">
        <f t="shared" si="22"/>
        <v>0</v>
      </c>
      <c r="R86" s="1">
        <f t="shared" si="23"/>
        <v>1</v>
      </c>
      <c r="S86" s="18">
        <f>MIN('execs Table 7'!C76,'execs Table 7'!E76,'execs Table 7'!G76,'execs Table 7'!I76,'execs Table 7'!K76,'execs Table 7'!M76,'execs Table 7'!O76,'execs Table 7'!Q76,'execs Table 7'!S76,'execs Table 7'!U76)</f>
        <v>42</v>
      </c>
      <c r="T86" s="18">
        <f>SUM('execs Table 7'!D76,'execs Table 7'!F76,'execs Table 7'!H76,'execs Table 7'!J76,'execs Table 7'!L76,'execs Table 7'!N76,'execs Table 7'!P76,'execs Table 7'!R76,'execs Table 7'!T76,'execs Table 7'!V76)</f>
        <v>8.090999960899353</v>
      </c>
      <c r="U86" s="3">
        <f t="shared" si="24"/>
        <v>0</v>
      </c>
      <c r="V86" s="1">
        <f t="shared" si="25"/>
        <v>1</v>
      </c>
      <c r="W86" s="18">
        <f>MIN('execs Table 7'!G76,'execs Table 7'!I76,'execs Table 7'!K76,'execs Table 7'!M76,'execs Table 7'!O76,'execs Table 7'!Q76,'execs Table 7'!S76,'execs Table 7'!U76,'execs Table 7'!W76,'execs Table 7'!Y76,'execs Table 7'!C76,'execs Table 7'!E76,'execs Table 7'!AA76,'execs Table 7'!AC76,'execs Table 7'!AE76,'execs Table 7'!AG76,'execs Table 7'!AI76,'execs Table 7'!AK76,'execs Table 7'!AM76,'execs Table 7'!AO76)</f>
        <v>42</v>
      </c>
      <c r="X86" s="18">
        <f>SUM('execs Table 7'!H76,'execs Table 7'!J76,'execs Table 7'!L76,'execs Table 7'!N76,'execs Table 7'!P76,'execs Table 7'!R76,'execs Table 7'!T76,'execs Table 7'!V76,'execs Table 7'!X76,'execs Table 7'!Z76,'execs Table 7'!D76,'execs Table 7'!F76,'execs Table 7'!AB76,'execs Table 7'!AD76,'execs Table 7'!AF76,'execs Table 7'!AH76,'execs Table 7'!AJ76,'execs Table 7'!AL76,'execs Table 7'!AN76,'execs Table 7'!AP76)</f>
        <v>16.14599996805191</v>
      </c>
      <c r="Y86" s="3">
        <f t="shared" si="13"/>
        <v>0</v>
      </c>
      <c r="Z86" s="1">
        <f t="shared" si="14"/>
        <v>1</v>
      </c>
      <c r="AR86" s="2">
        <f t="shared" si="26"/>
        <v>42</v>
      </c>
    </row>
    <row r="87" spans="2:44" ht="16" x14ac:dyDescent="0.2">
      <c r="B87" s="18" t="s">
        <v>93</v>
      </c>
      <c r="C87" s="18">
        <v>52</v>
      </c>
      <c r="D87" s="37" t="s">
        <v>235</v>
      </c>
      <c r="E87" s="3">
        <f t="shared" si="16"/>
        <v>0.23809523809523808</v>
      </c>
      <c r="F87" s="1">
        <f t="shared" si="19"/>
        <v>0</v>
      </c>
      <c r="G87" s="18">
        <v>52</v>
      </c>
      <c r="H87" s="37" t="s">
        <v>235</v>
      </c>
      <c r="I87" s="3">
        <f t="shared" si="17"/>
        <v>0.23809523809523808</v>
      </c>
      <c r="J87" s="1">
        <f t="shared" si="18"/>
        <v>0</v>
      </c>
      <c r="K87" s="18">
        <v>52</v>
      </c>
      <c r="L87" s="37" t="s">
        <v>235</v>
      </c>
      <c r="M87" s="3">
        <f t="shared" si="20"/>
        <v>0.23809523809523808</v>
      </c>
      <c r="N87" s="1">
        <f t="shared" si="21"/>
        <v>0</v>
      </c>
      <c r="O87" s="18">
        <f>'execs Table 7'!C77</f>
        <v>42</v>
      </c>
      <c r="P87" s="18">
        <f>'execs Table 7'!D77</f>
        <v>0.89600002765655518</v>
      </c>
      <c r="Q87" s="3">
        <f t="shared" si="22"/>
        <v>0</v>
      </c>
      <c r="R87" s="1">
        <f t="shared" si="23"/>
        <v>1</v>
      </c>
      <c r="S87" s="18">
        <f>MIN('execs Table 7'!C77,'execs Table 7'!E77,'execs Table 7'!G77,'execs Table 7'!I77,'execs Table 7'!K77,'execs Table 7'!M77,'execs Table 7'!O77,'execs Table 7'!Q77,'execs Table 7'!S77,'execs Table 7'!U77)</f>
        <v>42</v>
      </c>
      <c r="T87" s="18">
        <f>SUM('execs Table 7'!D77,'execs Table 7'!F77,'execs Table 7'!H77,'execs Table 7'!J77,'execs Table 7'!L77,'execs Table 7'!N77,'execs Table 7'!P77,'execs Table 7'!R77,'execs Table 7'!T77,'execs Table 7'!V77)</f>
        <v>8.0709999799728394</v>
      </c>
      <c r="U87" s="3">
        <f t="shared" si="24"/>
        <v>0</v>
      </c>
      <c r="V87" s="1">
        <f t="shared" si="25"/>
        <v>1</v>
      </c>
      <c r="W87" s="18">
        <f>MIN('execs Table 7'!G77,'execs Table 7'!I77,'execs Table 7'!K77,'execs Table 7'!M77,'execs Table 7'!O77,'execs Table 7'!Q77,'execs Table 7'!S77,'execs Table 7'!U77,'execs Table 7'!W77,'execs Table 7'!Y77,'execs Table 7'!C77,'execs Table 7'!E77,'execs Table 7'!AA77,'execs Table 7'!AC77,'execs Table 7'!AE77,'execs Table 7'!AG77,'execs Table 7'!AI77,'execs Table 7'!AK77,'execs Table 7'!AM77,'execs Table 7'!AO77)</f>
        <v>42</v>
      </c>
      <c r="X87" s="18">
        <f>SUM('execs Table 7'!H77,'execs Table 7'!J77,'execs Table 7'!L77,'execs Table 7'!N77,'execs Table 7'!P77,'execs Table 7'!R77,'execs Table 7'!T77,'execs Table 7'!V77,'execs Table 7'!X77,'execs Table 7'!Z77,'execs Table 7'!D77,'execs Table 7'!F77,'execs Table 7'!AB77,'execs Table 7'!AD77,'execs Table 7'!AF77,'execs Table 7'!AH77,'execs Table 7'!AJ77,'execs Table 7'!AL77,'execs Table 7'!AN77,'execs Table 7'!AP77)</f>
        <v>16.082000017166138</v>
      </c>
      <c r="Y87" s="3">
        <f t="shared" si="13"/>
        <v>0</v>
      </c>
      <c r="Z87" s="1">
        <f t="shared" si="14"/>
        <v>1</v>
      </c>
      <c r="AR87" s="2">
        <f t="shared" si="26"/>
        <v>42</v>
      </c>
    </row>
    <row r="88" spans="2:44" ht="16" x14ac:dyDescent="0.2">
      <c r="B88" s="18" t="s">
        <v>94</v>
      </c>
      <c r="C88" s="18">
        <v>3</v>
      </c>
      <c r="D88" s="37" t="s">
        <v>235</v>
      </c>
      <c r="E88" s="3">
        <f t="shared" si="16"/>
        <v>0</v>
      </c>
      <c r="F88" s="1">
        <f t="shared" si="19"/>
        <v>1</v>
      </c>
      <c r="G88" s="18">
        <v>3</v>
      </c>
      <c r="H88" s="37" t="s">
        <v>235</v>
      </c>
      <c r="I88" s="3">
        <f t="shared" si="17"/>
        <v>0</v>
      </c>
      <c r="J88" s="1">
        <f t="shared" si="18"/>
        <v>1</v>
      </c>
      <c r="K88" s="18">
        <v>3</v>
      </c>
      <c r="L88" s="37" t="s">
        <v>235</v>
      </c>
      <c r="M88" s="3">
        <f t="shared" si="20"/>
        <v>0</v>
      </c>
      <c r="N88" s="1">
        <f t="shared" si="21"/>
        <v>1</v>
      </c>
      <c r="O88" s="18">
        <f>'execs Table 7'!C78</f>
        <v>3</v>
      </c>
      <c r="P88" s="18">
        <f>'execs Table 7'!D78</f>
        <v>16.638999938964844</v>
      </c>
      <c r="Q88" s="3">
        <f t="shared" si="22"/>
        <v>0</v>
      </c>
      <c r="R88" s="1">
        <f t="shared" si="23"/>
        <v>1</v>
      </c>
      <c r="S88" s="18">
        <f>MIN('execs Table 7'!C78,'execs Table 7'!E78,'execs Table 7'!G78,'execs Table 7'!I78,'execs Table 7'!K78,'execs Table 7'!M78,'execs Table 7'!O78,'execs Table 7'!Q78,'execs Table 7'!S78,'execs Table 7'!U78)</f>
        <v>3</v>
      </c>
      <c r="T88" s="18">
        <f>SUM('execs Table 7'!D78,'execs Table 7'!F78,'execs Table 7'!H78,'execs Table 7'!J78,'execs Table 7'!L78,'execs Table 7'!N78,'execs Table 7'!P78,'execs Table 7'!R78,'execs Table 7'!T78,'execs Table 7'!V78)</f>
        <v>158.35599803924561</v>
      </c>
      <c r="U88" s="3">
        <f t="shared" si="24"/>
        <v>0</v>
      </c>
      <c r="V88" s="1">
        <f t="shared" si="25"/>
        <v>1</v>
      </c>
      <c r="W88" s="18">
        <f>MIN('execs Table 7'!G78,'execs Table 7'!I78,'execs Table 7'!K78,'execs Table 7'!M78,'execs Table 7'!O78,'execs Table 7'!Q78,'execs Table 7'!S78,'execs Table 7'!U78,'execs Table 7'!W78,'execs Table 7'!Y78,'execs Table 7'!C78,'execs Table 7'!E78,'execs Table 7'!AA78,'execs Table 7'!AC78,'execs Table 7'!AE78,'execs Table 7'!AG78,'execs Table 7'!AI78,'execs Table 7'!AK78,'execs Table 7'!AM78,'execs Table 7'!AO78)</f>
        <v>3</v>
      </c>
      <c r="X88" s="18">
        <f>SUM('execs Table 7'!H78,'execs Table 7'!J78,'execs Table 7'!L78,'execs Table 7'!N78,'execs Table 7'!P78,'execs Table 7'!R78,'execs Table 7'!T78,'execs Table 7'!V78,'execs Table 7'!X78,'execs Table 7'!Z78,'execs Table 7'!D78,'execs Table 7'!F78,'execs Table 7'!AB78,'execs Table 7'!AD78,'execs Table 7'!AF78,'execs Table 7'!AH78,'execs Table 7'!AJ78,'execs Table 7'!AL78,'execs Table 7'!AN78,'execs Table 7'!AP78)</f>
        <v>314.08299827575684</v>
      </c>
      <c r="Y88" s="3">
        <f t="shared" si="13"/>
        <v>0</v>
      </c>
      <c r="Z88" s="1">
        <f t="shared" si="14"/>
        <v>1</v>
      </c>
      <c r="AR88" s="2">
        <f t="shared" si="26"/>
        <v>3</v>
      </c>
    </row>
    <row r="89" spans="2:44" ht="16" x14ac:dyDescent="0.2">
      <c r="B89" s="18" t="s">
        <v>95</v>
      </c>
      <c r="C89" s="18">
        <v>3</v>
      </c>
      <c r="D89" s="37" t="s">
        <v>235</v>
      </c>
      <c r="E89" s="3">
        <f t="shared" si="16"/>
        <v>0</v>
      </c>
      <c r="F89" s="1">
        <f t="shared" si="19"/>
        <v>1</v>
      </c>
      <c r="G89" s="18">
        <v>3</v>
      </c>
      <c r="H89" s="37" t="s">
        <v>235</v>
      </c>
      <c r="I89" s="3">
        <f t="shared" si="17"/>
        <v>0</v>
      </c>
      <c r="J89" s="1">
        <f t="shared" si="18"/>
        <v>1</v>
      </c>
      <c r="K89" s="18">
        <v>3</v>
      </c>
      <c r="L89" s="37" t="s">
        <v>235</v>
      </c>
      <c r="M89" s="3">
        <f t="shared" si="20"/>
        <v>0</v>
      </c>
      <c r="N89" s="1">
        <f t="shared" si="21"/>
        <v>1</v>
      </c>
      <c r="O89" s="18">
        <f>'execs Table 7'!C79</f>
        <v>3</v>
      </c>
      <c r="P89" s="18">
        <f>'execs Table 7'!D79</f>
        <v>15.586999893188477</v>
      </c>
      <c r="Q89" s="3">
        <f t="shared" si="22"/>
        <v>0</v>
      </c>
      <c r="R89" s="1">
        <f t="shared" si="23"/>
        <v>1</v>
      </c>
      <c r="S89" s="18">
        <f>MIN('execs Table 7'!C79,'execs Table 7'!E79,'execs Table 7'!G79,'execs Table 7'!I79,'execs Table 7'!K79,'execs Table 7'!M79,'execs Table 7'!O79,'execs Table 7'!Q79,'execs Table 7'!S79,'execs Table 7'!U79)</f>
        <v>3</v>
      </c>
      <c r="T89" s="18">
        <f>SUM('execs Table 7'!D79,'execs Table 7'!F79,'execs Table 7'!H79,'execs Table 7'!J79,'execs Table 7'!L79,'execs Table 7'!N79,'execs Table 7'!P79,'execs Table 7'!R79,'execs Table 7'!T79,'execs Table 7'!V79)</f>
        <v>157.61100006103516</v>
      </c>
      <c r="U89" s="3">
        <f t="shared" si="24"/>
        <v>0</v>
      </c>
      <c r="V89" s="1">
        <f t="shared" si="25"/>
        <v>1</v>
      </c>
      <c r="W89" s="18">
        <f>MIN('execs Table 7'!G79,'execs Table 7'!I79,'execs Table 7'!K79,'execs Table 7'!M79,'execs Table 7'!O79,'execs Table 7'!Q79,'execs Table 7'!S79,'execs Table 7'!U79,'execs Table 7'!W79,'execs Table 7'!Y79,'execs Table 7'!C79,'execs Table 7'!E79,'execs Table 7'!AA79,'execs Table 7'!AC79,'execs Table 7'!AE79,'execs Table 7'!AG79,'execs Table 7'!AI79,'execs Table 7'!AK79,'execs Table 7'!AM79,'execs Table 7'!AO79)</f>
        <v>3</v>
      </c>
      <c r="X89" s="18">
        <f>SUM('execs Table 7'!H79,'execs Table 7'!J79,'execs Table 7'!L79,'execs Table 7'!N79,'execs Table 7'!P79,'execs Table 7'!R79,'execs Table 7'!T79,'execs Table 7'!V79,'execs Table 7'!X79,'execs Table 7'!Z79,'execs Table 7'!D79,'execs Table 7'!F79,'execs Table 7'!AB79,'execs Table 7'!AD79,'execs Table 7'!AF79,'execs Table 7'!AH79,'execs Table 7'!AJ79,'execs Table 7'!AL79,'execs Table 7'!AN79,'execs Table 7'!AP79)</f>
        <v>314.28200149536133</v>
      </c>
      <c r="Y89" s="3">
        <f t="shared" si="13"/>
        <v>0</v>
      </c>
      <c r="Z89" s="1">
        <f t="shared" si="14"/>
        <v>1</v>
      </c>
      <c r="AR89" s="2">
        <f t="shared" si="26"/>
        <v>3</v>
      </c>
    </row>
    <row r="90" spans="2:44" ht="16" x14ac:dyDescent="0.2">
      <c r="B90" s="18" t="s">
        <v>96</v>
      </c>
      <c r="C90" s="18">
        <v>458</v>
      </c>
      <c r="D90" s="37" t="s">
        <v>235</v>
      </c>
      <c r="E90" s="3">
        <f t="shared" si="16"/>
        <v>0.13647642679900746</v>
      </c>
      <c r="F90" s="1">
        <f t="shared" si="19"/>
        <v>0</v>
      </c>
      <c r="G90" s="18">
        <v>455</v>
      </c>
      <c r="H90" s="37" t="s">
        <v>235</v>
      </c>
      <c r="I90" s="3">
        <f t="shared" si="17"/>
        <v>0.12903225806451613</v>
      </c>
      <c r="J90" s="1">
        <f t="shared" si="18"/>
        <v>0</v>
      </c>
      <c r="K90" s="18">
        <v>453</v>
      </c>
      <c r="L90" s="37" t="s">
        <v>235</v>
      </c>
      <c r="M90" s="3">
        <f t="shared" si="20"/>
        <v>0.12406947890818859</v>
      </c>
      <c r="N90" s="1">
        <f t="shared" si="21"/>
        <v>0</v>
      </c>
      <c r="O90" s="18">
        <f>'execs Table 7'!C80</f>
        <v>403</v>
      </c>
      <c r="P90" s="18">
        <f>'execs Table 7'!D80</f>
        <v>2.4879999160766602</v>
      </c>
      <c r="Q90" s="3">
        <f t="shared" si="22"/>
        <v>0</v>
      </c>
      <c r="R90" s="1">
        <f t="shared" si="23"/>
        <v>1</v>
      </c>
      <c r="S90" s="18">
        <f>MIN('execs Table 7'!C80,'execs Table 7'!E80,'execs Table 7'!G80,'execs Table 7'!I80,'execs Table 7'!K80,'execs Table 7'!M80,'execs Table 7'!O80,'execs Table 7'!Q80,'execs Table 7'!S80,'execs Table 7'!U80)</f>
        <v>403</v>
      </c>
      <c r="T90" s="18">
        <f>SUM('execs Table 7'!D80,'execs Table 7'!F80,'execs Table 7'!H80,'execs Table 7'!J80,'execs Table 7'!L80,'execs Table 7'!N80,'execs Table 7'!P80,'execs Table 7'!R80,'execs Table 7'!T80,'execs Table 7'!V80)</f>
        <v>24.835999965667725</v>
      </c>
      <c r="U90" s="3">
        <f t="shared" si="24"/>
        <v>0</v>
      </c>
      <c r="V90" s="1">
        <f t="shared" si="25"/>
        <v>1</v>
      </c>
      <c r="W90" s="18">
        <f>MIN('execs Table 7'!G80,'execs Table 7'!I80,'execs Table 7'!K80,'execs Table 7'!M80,'execs Table 7'!O80,'execs Table 7'!Q80,'execs Table 7'!S80,'execs Table 7'!U80,'execs Table 7'!W80,'execs Table 7'!Y80,'execs Table 7'!C80,'execs Table 7'!E80,'execs Table 7'!AA80,'execs Table 7'!AC80,'execs Table 7'!AE80,'execs Table 7'!AG80,'execs Table 7'!AI80,'execs Table 7'!AK80,'execs Table 7'!AM80,'execs Table 7'!AO80)</f>
        <v>403</v>
      </c>
      <c r="X90" s="18">
        <f>SUM('execs Table 7'!H80,'execs Table 7'!J80,'execs Table 7'!L80,'execs Table 7'!N80,'execs Table 7'!P80,'execs Table 7'!R80,'execs Table 7'!T80,'execs Table 7'!V80,'execs Table 7'!X80,'execs Table 7'!Z80,'execs Table 7'!D80,'execs Table 7'!F80,'execs Table 7'!AB80,'execs Table 7'!AD80,'execs Table 7'!AF80,'execs Table 7'!AH80,'execs Table 7'!AJ80,'execs Table 7'!AL80,'execs Table 7'!AN80,'execs Table 7'!AP80)</f>
        <v>50.097000360488892</v>
      </c>
      <c r="Y90" s="3">
        <f t="shared" si="13"/>
        <v>0</v>
      </c>
      <c r="Z90" s="1">
        <f t="shared" si="14"/>
        <v>1</v>
      </c>
      <c r="AR90" s="2">
        <f t="shared" si="26"/>
        <v>403</v>
      </c>
    </row>
    <row r="91" spans="2:44" ht="16" x14ac:dyDescent="0.2">
      <c r="B91" s="18" t="s">
        <v>97</v>
      </c>
      <c r="C91" s="18">
        <v>286</v>
      </c>
      <c r="D91" s="37" t="s">
        <v>235</v>
      </c>
      <c r="E91" s="3">
        <f t="shared" si="16"/>
        <v>0.21702127659574469</v>
      </c>
      <c r="F91" s="1">
        <f t="shared" si="19"/>
        <v>0</v>
      </c>
      <c r="G91" s="18">
        <v>279</v>
      </c>
      <c r="H91" s="37" t="s">
        <v>235</v>
      </c>
      <c r="I91" s="3">
        <f t="shared" si="17"/>
        <v>0.18723404255319148</v>
      </c>
      <c r="J91" s="1">
        <f t="shared" si="18"/>
        <v>0</v>
      </c>
      <c r="K91" s="18">
        <v>276</v>
      </c>
      <c r="L91" s="37" t="s">
        <v>235</v>
      </c>
      <c r="M91" s="3">
        <f t="shared" si="20"/>
        <v>0.17446808510638298</v>
      </c>
      <c r="N91" s="1">
        <f t="shared" si="21"/>
        <v>0</v>
      </c>
      <c r="O91" s="18">
        <f>'execs Table 7'!C81</f>
        <v>235</v>
      </c>
      <c r="P91" s="18">
        <f>'execs Table 7'!D81</f>
        <v>16.988000869750977</v>
      </c>
      <c r="Q91" s="3">
        <f t="shared" si="22"/>
        <v>0</v>
      </c>
      <c r="R91" s="1">
        <f t="shared" si="23"/>
        <v>1</v>
      </c>
      <c r="S91" s="18">
        <f>MIN('execs Table 7'!C81,'execs Table 7'!E81,'execs Table 7'!G81,'execs Table 7'!I81,'execs Table 7'!K81,'execs Table 7'!M81,'execs Table 7'!O81,'execs Table 7'!Q81,'execs Table 7'!S81,'execs Table 7'!U81)</f>
        <v>235</v>
      </c>
      <c r="T91" s="18">
        <f>SUM('execs Table 7'!D81,'execs Table 7'!F81,'execs Table 7'!H81,'execs Table 7'!J81,'execs Table 7'!L81,'execs Table 7'!N81,'execs Table 7'!P81,'execs Table 7'!R81,'execs Table 7'!T81,'execs Table 7'!V81)</f>
        <v>113.25000143051147</v>
      </c>
      <c r="U91" s="3">
        <f t="shared" si="24"/>
        <v>0</v>
      </c>
      <c r="V91" s="1">
        <f t="shared" si="25"/>
        <v>1</v>
      </c>
      <c r="W91" s="18">
        <f>MIN('execs Table 7'!G81,'execs Table 7'!I81,'execs Table 7'!K81,'execs Table 7'!M81,'execs Table 7'!O81,'execs Table 7'!Q81,'execs Table 7'!S81,'execs Table 7'!U81,'execs Table 7'!W81,'execs Table 7'!Y81,'execs Table 7'!C81,'execs Table 7'!E81,'execs Table 7'!AA81,'execs Table 7'!AC81,'execs Table 7'!AE81,'execs Table 7'!AG81,'execs Table 7'!AI81,'execs Table 7'!AK81,'execs Table 7'!AM81,'execs Table 7'!AO81)</f>
        <v>235</v>
      </c>
      <c r="X91" s="18">
        <f>SUM('execs Table 7'!H81,'execs Table 7'!J81,'execs Table 7'!L81,'execs Table 7'!N81,'execs Table 7'!P81,'execs Table 7'!R81,'execs Table 7'!T81,'execs Table 7'!V81,'execs Table 7'!X81,'execs Table 7'!Z81,'execs Table 7'!D81,'execs Table 7'!F81,'execs Table 7'!AB81,'execs Table 7'!AD81,'execs Table 7'!AF81,'execs Table 7'!AH81,'execs Table 7'!AJ81,'execs Table 7'!AL81,'execs Table 7'!AN81,'execs Table 7'!AP81)</f>
        <v>206.21400117874146</v>
      </c>
      <c r="Y91" s="3">
        <f t="shared" si="13"/>
        <v>0</v>
      </c>
      <c r="Z91" s="1">
        <f t="shared" si="14"/>
        <v>1</v>
      </c>
      <c r="AR91" s="2">
        <f t="shared" si="26"/>
        <v>235</v>
      </c>
    </row>
    <row r="92" spans="2:44" ht="16" x14ac:dyDescent="0.2">
      <c r="B92" s="18" t="s">
        <v>98</v>
      </c>
      <c r="C92" s="18">
        <v>60</v>
      </c>
      <c r="D92" s="37" t="s">
        <v>235</v>
      </c>
      <c r="E92" s="3">
        <f t="shared" si="16"/>
        <v>1.6949152542372881E-2</v>
      </c>
      <c r="F92" s="1">
        <f t="shared" si="19"/>
        <v>0</v>
      </c>
      <c r="G92" s="18">
        <v>60</v>
      </c>
      <c r="H92" s="37" t="s">
        <v>235</v>
      </c>
      <c r="I92" s="3">
        <f t="shared" si="17"/>
        <v>1.6949152542372881E-2</v>
      </c>
      <c r="J92" s="1">
        <f t="shared" si="18"/>
        <v>0</v>
      </c>
      <c r="K92" s="18">
        <v>59</v>
      </c>
      <c r="L92" s="37" t="s">
        <v>235</v>
      </c>
      <c r="M92" s="3">
        <f t="shared" si="20"/>
        <v>0</v>
      </c>
      <c r="N92" s="1">
        <f t="shared" si="21"/>
        <v>1</v>
      </c>
      <c r="O92" s="18">
        <f>'execs Table 7'!C82</f>
        <v>59</v>
      </c>
      <c r="P92" s="18">
        <f>'execs Table 7'!D82</f>
        <v>0.21799999475479126</v>
      </c>
      <c r="Q92" s="3">
        <f t="shared" si="22"/>
        <v>0</v>
      </c>
      <c r="R92" s="1">
        <f t="shared" si="23"/>
        <v>1</v>
      </c>
      <c r="S92" s="18">
        <f>MIN('execs Table 7'!C82,'execs Table 7'!E82,'execs Table 7'!G82,'execs Table 7'!I82,'execs Table 7'!K82,'execs Table 7'!M82,'execs Table 7'!O82,'execs Table 7'!Q82,'execs Table 7'!S82,'execs Table 7'!U82)</f>
        <v>59</v>
      </c>
      <c r="T92" s="18">
        <f>SUM('execs Table 7'!D82,'execs Table 7'!F82,'execs Table 7'!H82,'execs Table 7'!J82,'execs Table 7'!L82,'execs Table 7'!N82,'execs Table 7'!P82,'execs Table 7'!R82,'execs Table 7'!T82,'execs Table 7'!V82)</f>
        <v>2.1580000072717667</v>
      </c>
      <c r="U92" s="3">
        <f t="shared" si="24"/>
        <v>0</v>
      </c>
      <c r="V92" s="1">
        <f t="shared" si="25"/>
        <v>1</v>
      </c>
      <c r="W92" s="18">
        <f>MIN('execs Table 7'!G82,'execs Table 7'!I82,'execs Table 7'!K82,'execs Table 7'!M82,'execs Table 7'!O82,'execs Table 7'!Q82,'execs Table 7'!S82,'execs Table 7'!U82,'execs Table 7'!W82,'execs Table 7'!Y82,'execs Table 7'!C82,'execs Table 7'!E82,'execs Table 7'!AA82,'execs Table 7'!AC82,'execs Table 7'!AE82,'execs Table 7'!AG82,'execs Table 7'!AI82,'execs Table 7'!AK82,'execs Table 7'!AM82,'execs Table 7'!AO82)</f>
        <v>59</v>
      </c>
      <c r="X92" s="18">
        <f>SUM('execs Table 7'!H82,'execs Table 7'!J82,'execs Table 7'!L82,'execs Table 7'!N82,'execs Table 7'!P82,'execs Table 7'!R82,'execs Table 7'!T82,'execs Table 7'!V82,'execs Table 7'!X82,'execs Table 7'!Z82,'execs Table 7'!D82,'execs Table 7'!F82,'execs Table 7'!AB82,'execs Table 7'!AD82,'execs Table 7'!AF82,'execs Table 7'!AH82,'execs Table 7'!AJ82,'execs Table 7'!AL82,'execs Table 7'!AN82,'execs Table 7'!AP82)</f>
        <v>4.335999995470047</v>
      </c>
      <c r="Y92" s="3">
        <f t="shared" si="13"/>
        <v>0</v>
      </c>
      <c r="Z92" s="1">
        <f t="shared" si="14"/>
        <v>1</v>
      </c>
      <c r="AR92" s="2">
        <f t="shared" si="26"/>
        <v>59</v>
      </c>
    </row>
    <row r="93" spans="2:44" ht="16" x14ac:dyDescent="0.2">
      <c r="B93" s="18" t="s">
        <v>100</v>
      </c>
      <c r="C93" s="18">
        <v>398</v>
      </c>
      <c r="D93" s="37" t="s">
        <v>235</v>
      </c>
      <c r="E93" s="3">
        <f t="shared" si="16"/>
        <v>0.27564102564102566</v>
      </c>
      <c r="F93" s="1">
        <f t="shared" si="19"/>
        <v>0</v>
      </c>
      <c r="G93" s="18">
        <v>369</v>
      </c>
      <c r="H93" s="37" t="s">
        <v>235</v>
      </c>
      <c r="I93" s="3">
        <f t="shared" si="17"/>
        <v>0.18269230769230768</v>
      </c>
      <c r="J93" s="1">
        <f t="shared" si="18"/>
        <v>0</v>
      </c>
      <c r="K93" s="18">
        <v>370</v>
      </c>
      <c r="L93" s="37" t="s">
        <v>235</v>
      </c>
      <c r="M93" s="3">
        <f t="shared" si="20"/>
        <v>0.1858974358974359</v>
      </c>
      <c r="N93" s="1">
        <f t="shared" si="21"/>
        <v>0</v>
      </c>
      <c r="O93" s="18">
        <f>'execs Table 7'!C83</f>
        <v>324</v>
      </c>
      <c r="P93" s="18">
        <f>'execs Table 7'!D83</f>
        <v>2.4639999866485596</v>
      </c>
      <c r="Q93" s="3">
        <f t="shared" si="22"/>
        <v>3.8461538461538464E-2</v>
      </c>
      <c r="R93" s="1">
        <f t="shared" si="23"/>
        <v>0</v>
      </c>
      <c r="S93" s="18">
        <f>MIN('execs Table 7'!C83,'execs Table 7'!E83,'execs Table 7'!G83,'execs Table 7'!I83,'execs Table 7'!K83,'execs Table 7'!M83,'execs Table 7'!O83,'execs Table 7'!Q83,'execs Table 7'!S83,'execs Table 7'!U83)</f>
        <v>312</v>
      </c>
      <c r="T93" s="18">
        <f>SUM('execs Table 7'!D83,'execs Table 7'!F83,'execs Table 7'!H83,'execs Table 7'!J83,'execs Table 7'!L83,'execs Table 7'!N83,'execs Table 7'!P83,'execs Table 7'!R83,'execs Table 7'!T83,'execs Table 7'!V83)</f>
        <v>29.160999894142151</v>
      </c>
      <c r="U93" s="3">
        <f t="shared" si="24"/>
        <v>0</v>
      </c>
      <c r="V93" s="1">
        <f t="shared" si="25"/>
        <v>1</v>
      </c>
      <c r="W93" s="18">
        <f>MIN('execs Table 7'!G83,'execs Table 7'!I83,'execs Table 7'!K83,'execs Table 7'!M83,'execs Table 7'!O83,'execs Table 7'!Q83,'execs Table 7'!S83,'execs Table 7'!U83,'execs Table 7'!W83,'execs Table 7'!Y83,'execs Table 7'!C83,'execs Table 7'!E83,'execs Table 7'!AA83,'execs Table 7'!AC83,'execs Table 7'!AE83,'execs Table 7'!AG83,'execs Table 7'!AI83,'execs Table 7'!AK83,'execs Table 7'!AM83,'execs Table 7'!AO83)</f>
        <v>312</v>
      </c>
      <c r="X93" s="18">
        <f>SUM('execs Table 7'!H83,'execs Table 7'!J83,'execs Table 7'!L83,'execs Table 7'!N83,'execs Table 7'!P83,'execs Table 7'!R83,'execs Table 7'!T83,'execs Table 7'!V83,'execs Table 7'!X83,'execs Table 7'!Z83,'execs Table 7'!D83,'execs Table 7'!F83,'execs Table 7'!AB83,'execs Table 7'!AD83,'execs Table 7'!AF83,'execs Table 7'!AH83,'execs Table 7'!AJ83,'execs Table 7'!AL83,'execs Table 7'!AN83,'execs Table 7'!AP83)</f>
        <v>62.362999796867371</v>
      </c>
      <c r="Y93" s="3">
        <f t="shared" si="13"/>
        <v>0</v>
      </c>
      <c r="Z93" s="1">
        <f t="shared" si="14"/>
        <v>1</v>
      </c>
      <c r="AR93" s="2">
        <f t="shared" si="26"/>
        <v>312</v>
      </c>
    </row>
    <row r="94" spans="2:44" ht="16" x14ac:dyDescent="0.2">
      <c r="B94" s="18" t="s">
        <v>99</v>
      </c>
      <c r="C94" s="18">
        <v>704</v>
      </c>
      <c r="D94" s="37" t="s">
        <v>235</v>
      </c>
      <c r="E94" s="3">
        <f t="shared" si="16"/>
        <v>0.41082164328657317</v>
      </c>
      <c r="F94" s="1">
        <f t="shared" si="19"/>
        <v>0</v>
      </c>
      <c r="G94" s="18">
        <v>691</v>
      </c>
      <c r="H94" s="37" t="s">
        <v>235</v>
      </c>
      <c r="I94" s="3">
        <f t="shared" si="17"/>
        <v>0.38476953907815631</v>
      </c>
      <c r="J94" s="1">
        <f t="shared" si="18"/>
        <v>0</v>
      </c>
      <c r="K94" s="18">
        <v>675</v>
      </c>
      <c r="L94" s="37" t="s">
        <v>235</v>
      </c>
      <c r="M94" s="3">
        <f t="shared" si="20"/>
        <v>0.35270541082164331</v>
      </c>
      <c r="N94" s="1">
        <f t="shared" si="21"/>
        <v>0</v>
      </c>
      <c r="O94" s="18">
        <f>'execs Table 7'!C84</f>
        <v>526</v>
      </c>
      <c r="P94" s="18">
        <f>'execs Table 7'!D84</f>
        <v>24.226999282836914</v>
      </c>
      <c r="Q94" s="3">
        <f t="shared" si="22"/>
        <v>5.410821643286573E-2</v>
      </c>
      <c r="R94" s="1">
        <f t="shared" si="23"/>
        <v>0</v>
      </c>
      <c r="S94" s="18">
        <f>MIN('execs Table 7'!C84,'execs Table 7'!E84,'execs Table 7'!G84,'execs Table 7'!I84,'execs Table 7'!K84,'execs Table 7'!M84,'execs Table 7'!O84,'execs Table 7'!Q84,'execs Table 7'!S84,'execs Table 7'!U84)</f>
        <v>499</v>
      </c>
      <c r="T94" s="18">
        <f>SUM('execs Table 7'!D84,'execs Table 7'!F84,'execs Table 7'!H84,'execs Table 7'!J84,'execs Table 7'!L84,'execs Table 7'!N84,'execs Table 7'!P84,'execs Table 7'!R84,'execs Table 7'!T84,'execs Table 7'!V84)</f>
        <v>402.16999626159668</v>
      </c>
      <c r="U94" s="3">
        <f t="shared" si="24"/>
        <v>0</v>
      </c>
      <c r="V94" s="1">
        <f t="shared" si="25"/>
        <v>1</v>
      </c>
      <c r="W94" s="18">
        <f>MIN('execs Table 7'!G84,'execs Table 7'!I84,'execs Table 7'!K84,'execs Table 7'!M84,'execs Table 7'!O84,'execs Table 7'!Q84,'execs Table 7'!S84,'execs Table 7'!U84,'execs Table 7'!W84,'execs Table 7'!Y84,'execs Table 7'!C84,'execs Table 7'!E84,'execs Table 7'!AA84,'execs Table 7'!AC84,'execs Table 7'!AE84,'execs Table 7'!AG84,'execs Table 7'!AI84,'execs Table 7'!AK84,'execs Table 7'!AM84,'execs Table 7'!AO84)</f>
        <v>499</v>
      </c>
      <c r="X94" s="18">
        <f>SUM('execs Table 7'!H84,'execs Table 7'!J84,'execs Table 7'!L84,'execs Table 7'!N84,'execs Table 7'!P84,'execs Table 7'!R84,'execs Table 7'!T84,'execs Table 7'!V84,'execs Table 7'!X84,'execs Table 7'!Z84,'execs Table 7'!D84,'execs Table 7'!F84,'execs Table 7'!AB84,'execs Table 7'!AD84,'execs Table 7'!AF84,'execs Table 7'!AH84,'execs Table 7'!AJ84,'execs Table 7'!AL84,'execs Table 7'!AN84,'execs Table 7'!AP84)</f>
        <v>776.2129955291748</v>
      </c>
      <c r="Y94" s="3">
        <f t="shared" si="13"/>
        <v>0</v>
      </c>
      <c r="Z94" s="1">
        <f t="shared" si="14"/>
        <v>1</v>
      </c>
      <c r="AR94" s="2">
        <f t="shared" si="26"/>
        <v>499</v>
      </c>
    </row>
    <row r="95" spans="2:44" ht="16" x14ac:dyDescent="0.2">
      <c r="B95" s="18" t="s">
        <v>101</v>
      </c>
      <c r="C95" s="18">
        <v>185</v>
      </c>
      <c r="D95" s="37" t="s">
        <v>235</v>
      </c>
      <c r="E95" s="3">
        <f t="shared" si="16"/>
        <v>0.85</v>
      </c>
      <c r="F95" s="1">
        <f t="shared" si="19"/>
        <v>0</v>
      </c>
      <c r="G95" s="18">
        <v>162</v>
      </c>
      <c r="H95" s="37" t="s">
        <v>235</v>
      </c>
      <c r="I95" s="3">
        <f t="shared" si="17"/>
        <v>0.62</v>
      </c>
      <c r="J95" s="1">
        <f t="shared" si="18"/>
        <v>0</v>
      </c>
      <c r="K95" s="18">
        <v>161</v>
      </c>
      <c r="L95" s="37" t="s">
        <v>235</v>
      </c>
      <c r="M95" s="3">
        <f t="shared" si="20"/>
        <v>0.61</v>
      </c>
      <c r="N95" s="1">
        <f t="shared" si="21"/>
        <v>0</v>
      </c>
      <c r="O95" s="18">
        <f>'execs Table 7'!C85</f>
        <v>102</v>
      </c>
      <c r="P95" s="18">
        <f>'execs Table 7'!D85</f>
        <v>43.638999938964844</v>
      </c>
      <c r="Q95" s="3">
        <f t="shared" si="22"/>
        <v>0.02</v>
      </c>
      <c r="R95" s="1">
        <f t="shared" si="23"/>
        <v>0</v>
      </c>
      <c r="S95" s="18">
        <f>MIN('execs Table 7'!C85,'execs Table 7'!E85,'execs Table 7'!G85,'execs Table 7'!I85,'execs Table 7'!K85,'execs Table 7'!M85,'execs Table 7'!O85,'execs Table 7'!Q85,'execs Table 7'!S85,'execs Table 7'!U85)</f>
        <v>100</v>
      </c>
      <c r="T95" s="18">
        <f>SUM('execs Table 7'!D85,'execs Table 7'!F85,'execs Table 7'!H85,'execs Table 7'!J85,'execs Table 7'!L85,'execs Table 7'!N85,'execs Table 7'!P85,'execs Table 7'!R85,'execs Table 7'!T85,'execs Table 7'!V85)</f>
        <v>410.05999946594238</v>
      </c>
      <c r="U95" s="3">
        <f t="shared" si="24"/>
        <v>0</v>
      </c>
      <c r="V95" s="1">
        <f t="shared" si="25"/>
        <v>1</v>
      </c>
      <c r="W95" s="18">
        <f>MIN('execs Table 7'!G85,'execs Table 7'!I85,'execs Table 7'!K85,'execs Table 7'!M85,'execs Table 7'!O85,'execs Table 7'!Q85,'execs Table 7'!S85,'execs Table 7'!U85,'execs Table 7'!W85,'execs Table 7'!Y85,'execs Table 7'!C85,'execs Table 7'!E85,'execs Table 7'!AA85,'execs Table 7'!AC85,'execs Table 7'!AE85,'execs Table 7'!AG85,'execs Table 7'!AI85,'execs Table 7'!AK85,'execs Table 7'!AM85,'execs Table 7'!AO85)</f>
        <v>100</v>
      </c>
      <c r="X95" s="18">
        <f>SUM('execs Table 7'!H85,'execs Table 7'!J85,'execs Table 7'!L85,'execs Table 7'!N85,'execs Table 7'!P85,'execs Table 7'!R85,'execs Table 7'!T85,'execs Table 7'!V85,'execs Table 7'!X85,'execs Table 7'!Z85,'execs Table 7'!D85,'execs Table 7'!F85,'execs Table 7'!AB85,'execs Table 7'!AD85,'execs Table 7'!AF85,'execs Table 7'!AH85,'execs Table 7'!AJ85,'execs Table 7'!AL85,'execs Table 7'!AN85,'execs Table 7'!AP85)</f>
        <v>721.14700317382812</v>
      </c>
      <c r="Y95" s="3">
        <f t="shared" si="13"/>
        <v>0</v>
      </c>
      <c r="Z95" s="1">
        <f t="shared" si="14"/>
        <v>1</v>
      </c>
      <c r="AR95" s="2">
        <f t="shared" si="26"/>
        <v>100</v>
      </c>
    </row>
    <row r="96" spans="2:44" ht="16" x14ac:dyDescent="0.2">
      <c r="B96" s="18" t="s">
        <v>102</v>
      </c>
      <c r="C96" s="18">
        <v>21</v>
      </c>
      <c r="D96" s="37" t="s">
        <v>235</v>
      </c>
      <c r="E96" s="3">
        <f t="shared" si="16"/>
        <v>0.10526315789473684</v>
      </c>
      <c r="F96" s="1">
        <f t="shared" si="19"/>
        <v>0</v>
      </c>
      <c r="G96" s="18">
        <v>19</v>
      </c>
      <c r="H96" s="37" t="s">
        <v>235</v>
      </c>
      <c r="I96" s="3">
        <f t="shared" si="17"/>
        <v>0</v>
      </c>
      <c r="J96" s="1">
        <f t="shared" si="18"/>
        <v>1</v>
      </c>
      <c r="K96" s="18">
        <v>19</v>
      </c>
      <c r="L96" s="37" t="s">
        <v>235</v>
      </c>
      <c r="M96" s="3">
        <f t="shared" si="20"/>
        <v>0</v>
      </c>
      <c r="N96" s="1">
        <f t="shared" si="21"/>
        <v>1</v>
      </c>
      <c r="O96" s="18">
        <f>'execs Table 7'!C86</f>
        <v>19</v>
      </c>
      <c r="P96" s="18">
        <f>'execs Table 7'!D86</f>
        <v>7.0000002160668373E-3</v>
      </c>
      <c r="Q96" s="3">
        <f t="shared" si="22"/>
        <v>0</v>
      </c>
      <c r="R96" s="1">
        <f t="shared" si="23"/>
        <v>1</v>
      </c>
      <c r="S96" s="18">
        <f>MIN('execs Table 7'!C86,'execs Table 7'!E86,'execs Table 7'!G86,'execs Table 7'!I86,'execs Table 7'!K86,'execs Table 7'!M86,'execs Table 7'!O86,'execs Table 7'!Q86,'execs Table 7'!S86,'execs Table 7'!U86)</f>
        <v>19</v>
      </c>
      <c r="T96" s="18">
        <f>SUM('execs Table 7'!D86,'execs Table 7'!F86,'execs Table 7'!H86,'execs Table 7'!J86,'execs Table 7'!L86,'execs Table 7'!N86,'execs Table 7'!P86,'execs Table 7'!R86,'execs Table 7'!T86,'execs Table 7'!V86)</f>
        <v>7.6999999582767487E-2</v>
      </c>
      <c r="U96" s="3">
        <f t="shared" si="24"/>
        <v>0</v>
      </c>
      <c r="V96" s="1">
        <f t="shared" si="25"/>
        <v>1</v>
      </c>
      <c r="W96" s="18">
        <f>MIN('execs Table 7'!G86,'execs Table 7'!I86,'execs Table 7'!K86,'execs Table 7'!M86,'execs Table 7'!O86,'execs Table 7'!Q86,'execs Table 7'!S86,'execs Table 7'!U86,'execs Table 7'!W86,'execs Table 7'!Y86,'execs Table 7'!C86,'execs Table 7'!E86,'execs Table 7'!AA86,'execs Table 7'!AC86,'execs Table 7'!AE86,'execs Table 7'!AG86,'execs Table 7'!AI86,'execs Table 7'!AK86,'execs Table 7'!AM86,'execs Table 7'!AO86)</f>
        <v>19</v>
      </c>
      <c r="X96" s="18">
        <f>SUM('execs Table 7'!H86,'execs Table 7'!J86,'execs Table 7'!L86,'execs Table 7'!N86,'execs Table 7'!P86,'execs Table 7'!R86,'execs Table 7'!T86,'execs Table 7'!V86,'execs Table 7'!X86,'execs Table 7'!Z86,'execs Table 7'!D86,'execs Table 7'!F86,'execs Table 7'!AB86,'execs Table 7'!AD86,'execs Table 7'!AF86,'execs Table 7'!AH86,'execs Table 7'!AJ86,'execs Table 7'!AL86,'execs Table 7'!AN86,'execs Table 7'!AP86)</f>
        <v>0.15699999965727329</v>
      </c>
      <c r="Y96" s="3">
        <f t="shared" si="13"/>
        <v>0</v>
      </c>
      <c r="Z96" s="1">
        <f t="shared" si="14"/>
        <v>1</v>
      </c>
      <c r="AR96" s="2">
        <f t="shared" si="26"/>
        <v>19</v>
      </c>
    </row>
    <row r="97" spans="2:44" ht="16" x14ac:dyDescent="0.2">
      <c r="B97" s="18" t="s">
        <v>103</v>
      </c>
      <c r="C97" s="18">
        <v>39</v>
      </c>
      <c r="D97" s="37" t="s">
        <v>235</v>
      </c>
      <c r="E97" s="3">
        <f t="shared" si="16"/>
        <v>0</v>
      </c>
      <c r="F97" s="1">
        <f t="shared" si="19"/>
        <v>1</v>
      </c>
      <c r="G97" s="18">
        <v>39</v>
      </c>
      <c r="H97" s="37" t="s">
        <v>235</v>
      </c>
      <c r="I97" s="3">
        <f t="shared" si="17"/>
        <v>0</v>
      </c>
      <c r="J97" s="1">
        <f t="shared" si="18"/>
        <v>1</v>
      </c>
      <c r="K97" s="37" t="s">
        <v>235</v>
      </c>
      <c r="L97" s="37" t="s">
        <v>235</v>
      </c>
      <c r="M97" s="3" t="e">
        <f t="shared" si="20"/>
        <v>#VALUE!</v>
      </c>
      <c r="N97" s="1">
        <f t="shared" si="21"/>
        <v>0</v>
      </c>
      <c r="O97" s="18">
        <f>'execs Table 7'!C87</f>
        <v>39</v>
      </c>
      <c r="P97" s="18">
        <f>'execs Table 7'!D87</f>
        <v>3.2620000839233398</v>
      </c>
      <c r="Q97" s="3">
        <f t="shared" si="22"/>
        <v>0</v>
      </c>
      <c r="R97" s="1">
        <f t="shared" si="23"/>
        <v>1</v>
      </c>
      <c r="S97" s="18">
        <f>MIN('execs Table 7'!C87,'execs Table 7'!E87,'execs Table 7'!G87,'execs Table 7'!I87,'execs Table 7'!K87,'execs Table 7'!M87,'execs Table 7'!O87,'execs Table 7'!Q87,'execs Table 7'!S87,'execs Table 7'!U87)</f>
        <v>39</v>
      </c>
      <c r="T97" s="18">
        <f>SUM('execs Table 7'!D87,'execs Table 7'!F87,'execs Table 7'!H87,'execs Table 7'!J87,'execs Table 7'!L87,'execs Table 7'!N87,'execs Table 7'!P87,'execs Table 7'!R87,'execs Table 7'!T87,'execs Table 7'!V87)</f>
        <v>31.257999897003174</v>
      </c>
      <c r="U97" s="3">
        <f t="shared" si="24"/>
        <v>0</v>
      </c>
      <c r="V97" s="1">
        <f t="shared" si="25"/>
        <v>1</v>
      </c>
      <c r="W97" s="18">
        <f>MIN('execs Table 7'!G87,'execs Table 7'!I87,'execs Table 7'!K87,'execs Table 7'!M87,'execs Table 7'!O87,'execs Table 7'!Q87,'execs Table 7'!S87,'execs Table 7'!U87,'execs Table 7'!W87,'execs Table 7'!Y87,'execs Table 7'!C87,'execs Table 7'!E87,'execs Table 7'!AA87,'execs Table 7'!AC87,'execs Table 7'!AE87,'execs Table 7'!AG87,'execs Table 7'!AI87,'execs Table 7'!AK87,'execs Table 7'!AM87,'execs Table 7'!AO87)</f>
        <v>39</v>
      </c>
      <c r="X97" s="18">
        <f>SUM('execs Table 7'!H87,'execs Table 7'!J87,'execs Table 7'!L87,'execs Table 7'!N87,'execs Table 7'!P87,'execs Table 7'!R87,'execs Table 7'!T87,'execs Table 7'!V87,'execs Table 7'!X87,'execs Table 7'!Z87,'execs Table 7'!D87,'execs Table 7'!F87,'execs Table 7'!AB87,'execs Table 7'!AD87,'execs Table 7'!AF87,'execs Table 7'!AH87,'execs Table 7'!AJ87,'execs Table 7'!AL87,'execs Table 7'!AN87,'execs Table 7'!AP87)</f>
        <v>63.023999691009521</v>
      </c>
      <c r="Y97" s="3">
        <f t="shared" si="13"/>
        <v>0</v>
      </c>
      <c r="Z97" s="1">
        <f t="shared" si="14"/>
        <v>1</v>
      </c>
      <c r="AR97" s="2">
        <f t="shared" si="26"/>
        <v>39</v>
      </c>
    </row>
    <row r="98" spans="2:44" ht="16" x14ac:dyDescent="0.2">
      <c r="B98" s="18" t="s">
        <v>104</v>
      </c>
      <c r="C98" s="18">
        <v>29</v>
      </c>
      <c r="D98" s="37" t="s">
        <v>235</v>
      </c>
      <c r="E98" s="3">
        <f t="shared" si="16"/>
        <v>0.16</v>
      </c>
      <c r="F98" s="1">
        <f t="shared" si="19"/>
        <v>0</v>
      </c>
      <c r="G98" s="18">
        <v>26</v>
      </c>
      <c r="H98" s="37" t="s">
        <v>235</v>
      </c>
      <c r="I98" s="3">
        <f t="shared" si="17"/>
        <v>0.04</v>
      </c>
      <c r="J98" s="1">
        <f t="shared" si="18"/>
        <v>0</v>
      </c>
      <c r="K98" s="18">
        <v>26</v>
      </c>
      <c r="L98" s="37" t="s">
        <v>235</v>
      </c>
      <c r="M98" s="3">
        <f t="shared" si="20"/>
        <v>0.04</v>
      </c>
      <c r="N98" s="1">
        <f t="shared" si="21"/>
        <v>0</v>
      </c>
      <c r="O98" s="18">
        <f>'execs Table 7'!C88</f>
        <v>25</v>
      </c>
      <c r="P98" s="18">
        <f>'execs Table 7'!D88</f>
        <v>5.9999998658895493E-2</v>
      </c>
      <c r="Q98" s="3">
        <f t="shared" si="22"/>
        <v>0</v>
      </c>
      <c r="R98" s="1">
        <f t="shared" si="23"/>
        <v>1</v>
      </c>
      <c r="S98" s="18">
        <f>MIN('execs Table 7'!C88,'execs Table 7'!E88,'execs Table 7'!G88,'execs Table 7'!I88,'execs Table 7'!K88,'execs Table 7'!M88,'execs Table 7'!O88,'execs Table 7'!Q88,'execs Table 7'!S88,'execs Table 7'!U88)</f>
        <v>25</v>
      </c>
      <c r="T98" s="18">
        <f>SUM('execs Table 7'!D88,'execs Table 7'!F88,'execs Table 7'!H88,'execs Table 7'!J88,'execs Table 7'!L88,'execs Table 7'!N88,'execs Table 7'!P88,'execs Table 7'!R88,'execs Table 7'!T88,'execs Table 7'!V88)</f>
        <v>0.68599999696016312</v>
      </c>
      <c r="U98" s="3">
        <f t="shared" si="24"/>
        <v>0</v>
      </c>
      <c r="V98" s="1">
        <f t="shared" si="25"/>
        <v>1</v>
      </c>
      <c r="W98" s="18">
        <f>MIN('execs Table 7'!G88,'execs Table 7'!I88,'execs Table 7'!K88,'execs Table 7'!M88,'execs Table 7'!O88,'execs Table 7'!Q88,'execs Table 7'!S88,'execs Table 7'!U88,'execs Table 7'!W88,'execs Table 7'!Y88,'execs Table 7'!C88,'execs Table 7'!E88,'execs Table 7'!AA88,'execs Table 7'!AC88,'execs Table 7'!AE88,'execs Table 7'!AG88,'execs Table 7'!AI88,'execs Table 7'!AK88,'execs Table 7'!AM88,'execs Table 7'!AO88)</f>
        <v>25</v>
      </c>
      <c r="X98" s="18">
        <f>SUM('execs Table 7'!H88,'execs Table 7'!J88,'execs Table 7'!L88,'execs Table 7'!N88,'execs Table 7'!P88,'execs Table 7'!R88,'execs Table 7'!T88,'execs Table 7'!V88,'execs Table 7'!X88,'execs Table 7'!Z88,'execs Table 7'!D88,'execs Table 7'!F88,'execs Table 7'!AB88,'execs Table 7'!AD88,'execs Table 7'!AF88,'execs Table 7'!AH88,'execs Table 7'!AJ88,'execs Table 7'!AL88,'execs Table 7'!AN88,'execs Table 7'!AP88)</f>
        <v>1.3029999956488609</v>
      </c>
      <c r="Y98" s="3">
        <f t="shared" si="13"/>
        <v>0</v>
      </c>
      <c r="Z98" s="1">
        <f t="shared" si="14"/>
        <v>1</v>
      </c>
      <c r="AR98" s="2">
        <f t="shared" si="26"/>
        <v>25</v>
      </c>
    </row>
    <row r="99" spans="2:44" ht="16" x14ac:dyDescent="0.2">
      <c r="B99" s="18" t="s">
        <v>105</v>
      </c>
      <c r="C99" s="18">
        <v>78</v>
      </c>
      <c r="D99" s="37" t="s">
        <v>235</v>
      </c>
      <c r="E99" s="3">
        <f t="shared" si="16"/>
        <v>0.11428571428571428</v>
      </c>
      <c r="F99" s="1">
        <f t="shared" si="19"/>
        <v>0</v>
      </c>
      <c r="G99" s="18">
        <v>77</v>
      </c>
      <c r="H99" s="37" t="s">
        <v>235</v>
      </c>
      <c r="I99" s="3">
        <f t="shared" si="17"/>
        <v>0.1</v>
      </c>
      <c r="J99" s="1">
        <f t="shared" si="18"/>
        <v>0</v>
      </c>
      <c r="K99" s="18">
        <v>77</v>
      </c>
      <c r="L99" s="37" t="s">
        <v>235</v>
      </c>
      <c r="M99" s="3">
        <f t="shared" si="20"/>
        <v>0.1</v>
      </c>
      <c r="N99" s="1">
        <f t="shared" si="21"/>
        <v>0</v>
      </c>
      <c r="O99" s="18">
        <f>'execs Table 7'!C89</f>
        <v>71</v>
      </c>
      <c r="P99" s="18">
        <f>'execs Table 7'!D89</f>
        <v>0.10100000351667404</v>
      </c>
      <c r="Q99" s="3">
        <f t="shared" si="22"/>
        <v>1.4285714285714285E-2</v>
      </c>
      <c r="R99" s="1">
        <f t="shared" si="23"/>
        <v>0</v>
      </c>
      <c r="S99" s="18">
        <f>MIN('execs Table 7'!C89,'execs Table 7'!E89,'execs Table 7'!G89,'execs Table 7'!I89,'execs Table 7'!K89,'execs Table 7'!M89,'execs Table 7'!O89,'execs Table 7'!Q89,'execs Table 7'!S89,'execs Table 7'!U89)</f>
        <v>70</v>
      </c>
      <c r="T99" s="18">
        <f>SUM('execs Table 7'!D89,'execs Table 7'!F89,'execs Table 7'!H89,'execs Table 7'!J89,'execs Table 7'!L89,'execs Table 7'!N89,'execs Table 7'!P89,'execs Table 7'!R89,'execs Table 7'!T89,'execs Table 7'!V89)</f>
        <v>1.2020000070333481</v>
      </c>
      <c r="U99" s="3">
        <f t="shared" si="24"/>
        <v>0</v>
      </c>
      <c r="V99" s="1">
        <f t="shared" si="25"/>
        <v>1</v>
      </c>
      <c r="W99" s="18">
        <f>MIN('execs Table 7'!G89,'execs Table 7'!I89,'execs Table 7'!K89,'execs Table 7'!M89,'execs Table 7'!O89,'execs Table 7'!Q89,'execs Table 7'!S89,'execs Table 7'!U89,'execs Table 7'!W89,'execs Table 7'!Y89,'execs Table 7'!C89,'execs Table 7'!E89,'execs Table 7'!AA89,'execs Table 7'!AC89,'execs Table 7'!AE89,'execs Table 7'!AG89,'execs Table 7'!AI89,'execs Table 7'!AK89,'execs Table 7'!AM89,'execs Table 7'!AO89)</f>
        <v>70</v>
      </c>
      <c r="X99" s="18">
        <f>SUM('execs Table 7'!H89,'execs Table 7'!J89,'execs Table 7'!L89,'execs Table 7'!N89,'execs Table 7'!P89,'execs Table 7'!R89,'execs Table 7'!T89,'execs Table 7'!V89,'execs Table 7'!X89,'execs Table 7'!Z89,'execs Table 7'!D89,'execs Table 7'!F89,'execs Table 7'!AB89,'execs Table 7'!AD89,'execs Table 7'!AF89,'execs Table 7'!AH89,'execs Table 7'!AJ89,'execs Table 7'!AL89,'execs Table 7'!AN89,'execs Table 7'!AP89)</f>
        <v>2.3270000070333481</v>
      </c>
      <c r="Y99" s="3">
        <f t="shared" si="13"/>
        <v>0</v>
      </c>
      <c r="Z99" s="1">
        <f t="shared" si="14"/>
        <v>1</v>
      </c>
      <c r="AR99" s="2">
        <f t="shared" si="26"/>
        <v>70</v>
      </c>
    </row>
    <row r="100" spans="2:44" ht="16" x14ac:dyDescent="0.2">
      <c r="B100" s="18" t="s">
        <v>106</v>
      </c>
      <c r="C100" s="18">
        <v>210</v>
      </c>
      <c r="D100" s="37" t="s">
        <v>235</v>
      </c>
      <c r="E100" s="3">
        <f t="shared" si="16"/>
        <v>9.947643979057591E-2</v>
      </c>
      <c r="F100" s="1">
        <f t="shared" si="19"/>
        <v>0</v>
      </c>
      <c r="G100" s="18">
        <v>210</v>
      </c>
      <c r="H100" s="37" t="s">
        <v>235</v>
      </c>
      <c r="I100" s="3">
        <f t="shared" si="17"/>
        <v>9.947643979057591E-2</v>
      </c>
      <c r="J100" s="1">
        <f t="shared" si="18"/>
        <v>0</v>
      </c>
      <c r="K100" s="18">
        <v>204</v>
      </c>
      <c r="L100" s="37" t="s">
        <v>235</v>
      </c>
      <c r="M100" s="3">
        <f t="shared" si="20"/>
        <v>6.8062827225130892E-2</v>
      </c>
      <c r="N100" s="1">
        <f t="shared" si="21"/>
        <v>0</v>
      </c>
      <c r="O100" s="18">
        <f>'execs Table 7'!C90</f>
        <v>192</v>
      </c>
      <c r="P100" s="18">
        <f>'execs Table 7'!D90</f>
        <v>1.5080000162124634</v>
      </c>
      <c r="Q100" s="3">
        <f t="shared" si="22"/>
        <v>5.235602094240838E-3</v>
      </c>
      <c r="R100" s="1">
        <f t="shared" si="23"/>
        <v>0</v>
      </c>
      <c r="S100" s="18">
        <f>MIN('execs Table 7'!C90,'execs Table 7'!E90,'execs Table 7'!G90,'execs Table 7'!I90,'execs Table 7'!K90,'execs Table 7'!M90,'execs Table 7'!O90,'execs Table 7'!Q90,'execs Table 7'!S90,'execs Table 7'!U90)</f>
        <v>192</v>
      </c>
      <c r="T100" s="18">
        <f>SUM('execs Table 7'!D90,'execs Table 7'!F90,'execs Table 7'!H90,'execs Table 7'!J90,'execs Table 7'!L90,'execs Table 7'!N90,'execs Table 7'!P90,'execs Table 7'!R90,'execs Table 7'!T90,'execs Table 7'!V90)</f>
        <v>15.721000134944916</v>
      </c>
      <c r="U100" s="3">
        <f t="shared" si="24"/>
        <v>5.235602094240838E-3</v>
      </c>
      <c r="V100" s="1">
        <f t="shared" si="25"/>
        <v>0</v>
      </c>
      <c r="W100" s="18">
        <f>MIN('execs Table 7'!G90,'execs Table 7'!I90,'execs Table 7'!K90,'execs Table 7'!M90,'execs Table 7'!O90,'execs Table 7'!Q90,'execs Table 7'!S90,'execs Table 7'!U90,'execs Table 7'!W90,'execs Table 7'!Y90,'execs Table 7'!C90,'execs Table 7'!E90,'execs Table 7'!AA90,'execs Table 7'!AC90,'execs Table 7'!AE90,'execs Table 7'!AG90,'execs Table 7'!AI90,'execs Table 7'!AK90,'execs Table 7'!AM90,'execs Table 7'!AO90)</f>
        <v>191</v>
      </c>
      <c r="X100" s="18">
        <f>SUM('execs Table 7'!H90,'execs Table 7'!J90,'execs Table 7'!L90,'execs Table 7'!N90,'execs Table 7'!P90,'execs Table 7'!R90,'execs Table 7'!T90,'execs Table 7'!V90,'execs Table 7'!X90,'execs Table 7'!Z90,'execs Table 7'!D90,'execs Table 7'!F90,'execs Table 7'!AB90,'execs Table 7'!AD90,'execs Table 7'!AF90,'execs Table 7'!AH90,'execs Table 7'!AJ90,'execs Table 7'!AL90,'execs Table 7'!AN90,'execs Table 7'!AP90)</f>
        <v>27.78600013256073</v>
      </c>
      <c r="Y100" s="3">
        <f t="shared" si="13"/>
        <v>0</v>
      </c>
      <c r="Z100" s="1">
        <f t="shared" si="14"/>
        <v>1</v>
      </c>
      <c r="AR100" s="2">
        <f t="shared" si="26"/>
        <v>191</v>
      </c>
    </row>
    <row r="101" spans="2:44" ht="16" x14ac:dyDescent="0.2">
      <c r="B101" s="18" t="s">
        <v>107</v>
      </c>
      <c r="C101" s="18">
        <v>545</v>
      </c>
      <c r="D101" s="37" t="s">
        <v>235</v>
      </c>
      <c r="E101" s="3">
        <f t="shared" si="16"/>
        <v>0.14736842105263157</v>
      </c>
      <c r="F101" s="1">
        <f t="shared" si="19"/>
        <v>0</v>
      </c>
      <c r="G101" s="18">
        <v>534</v>
      </c>
      <c r="H101" s="37" t="s">
        <v>235</v>
      </c>
      <c r="I101" s="3">
        <f t="shared" si="17"/>
        <v>0.12421052631578948</v>
      </c>
      <c r="J101" s="1">
        <f t="shared" si="18"/>
        <v>0</v>
      </c>
      <c r="K101" s="18">
        <v>526</v>
      </c>
      <c r="L101" s="37" t="s">
        <v>235</v>
      </c>
      <c r="M101" s="3">
        <f t="shared" si="20"/>
        <v>0.10736842105263159</v>
      </c>
      <c r="N101" s="1">
        <f t="shared" si="21"/>
        <v>0</v>
      </c>
      <c r="O101" s="18">
        <f>'execs Table 7'!C91</f>
        <v>483</v>
      </c>
      <c r="P101" s="18">
        <f>'execs Table 7'!D91</f>
        <v>3.2739999294281006</v>
      </c>
      <c r="Q101" s="3">
        <f t="shared" si="22"/>
        <v>1.6842105263157894E-2</v>
      </c>
      <c r="R101" s="1">
        <f t="shared" si="23"/>
        <v>0</v>
      </c>
      <c r="S101" s="18">
        <f>MIN('execs Table 7'!C91,'execs Table 7'!E91,'execs Table 7'!G91,'execs Table 7'!I91,'execs Table 7'!K91,'execs Table 7'!M91,'execs Table 7'!O91,'execs Table 7'!Q91,'execs Table 7'!S91,'execs Table 7'!U91)</f>
        <v>479</v>
      </c>
      <c r="T101" s="18">
        <f>SUM('execs Table 7'!D91,'execs Table 7'!F91,'execs Table 7'!H91,'execs Table 7'!J91,'execs Table 7'!L91,'execs Table 7'!N91,'execs Table 7'!P91,'execs Table 7'!R91,'execs Table 7'!T91,'execs Table 7'!V91)</f>
        <v>33.468000173568726</v>
      </c>
      <c r="U101" s="3">
        <f t="shared" si="24"/>
        <v>8.4210526315789472E-3</v>
      </c>
      <c r="V101" s="1">
        <f t="shared" si="25"/>
        <v>0</v>
      </c>
      <c r="W101" s="18">
        <f>MIN('execs Table 7'!G91,'execs Table 7'!I91,'execs Table 7'!K91,'execs Table 7'!M91,'execs Table 7'!O91,'execs Table 7'!Q91,'execs Table 7'!S91,'execs Table 7'!U91,'execs Table 7'!W91,'execs Table 7'!Y91,'execs Table 7'!C91,'execs Table 7'!E91,'execs Table 7'!AA91,'execs Table 7'!AC91,'execs Table 7'!AE91,'execs Table 7'!AG91,'execs Table 7'!AI91,'execs Table 7'!AK91,'execs Table 7'!AM91,'execs Table 7'!AO91)</f>
        <v>475</v>
      </c>
      <c r="X101" s="18">
        <f>SUM('execs Table 7'!H91,'execs Table 7'!J91,'execs Table 7'!L91,'execs Table 7'!N91,'execs Table 7'!P91,'execs Table 7'!R91,'execs Table 7'!T91,'execs Table 7'!V91,'execs Table 7'!X91,'execs Table 7'!Z91,'execs Table 7'!D91,'execs Table 7'!F91,'execs Table 7'!AB91,'execs Table 7'!AD91,'execs Table 7'!AF91,'execs Table 7'!AH91,'execs Table 7'!AJ91,'execs Table 7'!AL91,'execs Table 7'!AN91,'execs Table 7'!AP91)</f>
        <v>74.138000249862671</v>
      </c>
      <c r="Y101" s="3">
        <f t="shared" si="13"/>
        <v>0</v>
      </c>
      <c r="Z101" s="1">
        <f t="shared" si="14"/>
        <v>1</v>
      </c>
      <c r="AR101" s="2">
        <f t="shared" si="26"/>
        <v>475</v>
      </c>
    </row>
    <row r="102" spans="2:44" ht="16" x14ac:dyDescent="0.2">
      <c r="B102" s="18" t="s">
        <v>108</v>
      </c>
      <c r="C102" s="18">
        <v>606</v>
      </c>
      <c r="D102" s="37" t="s">
        <v>235</v>
      </c>
      <c r="E102" s="3">
        <f t="shared" si="16"/>
        <v>0.22672064777327935</v>
      </c>
      <c r="F102" s="1">
        <f t="shared" si="19"/>
        <v>0</v>
      </c>
      <c r="G102" s="18">
        <v>576</v>
      </c>
      <c r="H102" s="37" t="s">
        <v>235</v>
      </c>
      <c r="I102" s="3">
        <f t="shared" si="17"/>
        <v>0.16599190283400811</v>
      </c>
      <c r="J102" s="1">
        <f t="shared" si="18"/>
        <v>0</v>
      </c>
      <c r="K102" s="18">
        <v>582</v>
      </c>
      <c r="L102" s="37" t="s">
        <v>235</v>
      </c>
      <c r="M102" s="3">
        <f t="shared" si="20"/>
        <v>0.17813765182186234</v>
      </c>
      <c r="N102" s="1">
        <f t="shared" si="21"/>
        <v>0</v>
      </c>
      <c r="O102" s="18">
        <f>'execs Table 7'!C92</f>
        <v>506</v>
      </c>
      <c r="P102" s="18">
        <f>'execs Table 7'!D92</f>
        <v>4.8850002288818359</v>
      </c>
      <c r="Q102" s="3">
        <f t="shared" si="22"/>
        <v>2.4291497975708502E-2</v>
      </c>
      <c r="R102" s="1">
        <f t="shared" si="23"/>
        <v>0</v>
      </c>
      <c r="S102" s="18">
        <f>MIN('execs Table 7'!C92,'execs Table 7'!E92,'execs Table 7'!G92,'execs Table 7'!I92,'execs Table 7'!K92,'execs Table 7'!M92,'execs Table 7'!O92,'execs Table 7'!Q92,'execs Table 7'!S92,'execs Table 7'!U92)</f>
        <v>494</v>
      </c>
      <c r="T102" s="18">
        <f>SUM('execs Table 7'!D92,'execs Table 7'!F92,'execs Table 7'!H92,'execs Table 7'!J92,'execs Table 7'!L92,'execs Table 7'!N92,'execs Table 7'!P92,'execs Table 7'!R92,'execs Table 7'!T92,'execs Table 7'!V92)</f>
        <v>45.470000505447388</v>
      </c>
      <c r="U102" s="3">
        <f t="shared" si="24"/>
        <v>0</v>
      </c>
      <c r="V102" s="1">
        <f t="shared" si="25"/>
        <v>1</v>
      </c>
      <c r="W102" s="18">
        <f>MIN('execs Table 7'!G92,'execs Table 7'!I92,'execs Table 7'!K92,'execs Table 7'!M92,'execs Table 7'!O92,'execs Table 7'!Q92,'execs Table 7'!S92,'execs Table 7'!U92,'execs Table 7'!W92,'execs Table 7'!Y92,'execs Table 7'!C92,'execs Table 7'!E92,'execs Table 7'!AA92,'execs Table 7'!AC92,'execs Table 7'!AE92,'execs Table 7'!AG92,'execs Table 7'!AI92,'execs Table 7'!AK92,'execs Table 7'!AM92,'execs Table 7'!AO92)</f>
        <v>494</v>
      </c>
      <c r="X102" s="18">
        <f>SUM('execs Table 7'!H92,'execs Table 7'!J92,'execs Table 7'!L92,'execs Table 7'!N92,'execs Table 7'!P92,'execs Table 7'!R92,'execs Table 7'!T92,'execs Table 7'!V92,'execs Table 7'!X92,'execs Table 7'!Z92,'execs Table 7'!D92,'execs Table 7'!F92,'execs Table 7'!AB92,'execs Table 7'!AD92,'execs Table 7'!AF92,'execs Table 7'!AH92,'execs Table 7'!AJ92,'execs Table 7'!AL92,'execs Table 7'!AN92,'execs Table 7'!AP92)</f>
        <v>85.559000253677368</v>
      </c>
      <c r="Y102" s="3">
        <f t="shared" ref="Y102:Y128" si="27">(W102-$AR102)/$AR102</f>
        <v>0</v>
      </c>
      <c r="Z102" s="1">
        <f t="shared" ref="Z102:Z128" si="28">IF(W102=$AR102,1,0)</f>
        <v>1</v>
      </c>
      <c r="AR102" s="2">
        <f t="shared" si="26"/>
        <v>494</v>
      </c>
    </row>
    <row r="103" spans="2:44" ht="16" x14ac:dyDescent="0.2">
      <c r="B103" s="18" t="s">
        <v>109</v>
      </c>
      <c r="C103" s="18">
        <v>3</v>
      </c>
      <c r="D103" s="37" t="s">
        <v>235</v>
      </c>
      <c r="E103" s="3">
        <f t="shared" si="16"/>
        <v>0</v>
      </c>
      <c r="F103" s="1">
        <f t="shared" si="19"/>
        <v>1</v>
      </c>
      <c r="G103" s="18">
        <v>3</v>
      </c>
      <c r="H103" s="37" t="s">
        <v>235</v>
      </c>
      <c r="I103" s="3">
        <f t="shared" si="17"/>
        <v>0</v>
      </c>
      <c r="J103" s="1">
        <f t="shared" si="18"/>
        <v>1</v>
      </c>
      <c r="K103" s="18">
        <v>3</v>
      </c>
      <c r="L103" s="37" t="s">
        <v>235</v>
      </c>
      <c r="M103" s="3">
        <f t="shared" si="20"/>
        <v>0</v>
      </c>
      <c r="N103" s="1">
        <f t="shared" si="21"/>
        <v>1</v>
      </c>
      <c r="O103" s="18">
        <f>'execs Table 7'!C93</f>
        <v>3</v>
      </c>
      <c r="P103" s="18">
        <f>'execs Table 7'!D93</f>
        <v>2.0000000949949026E-3</v>
      </c>
      <c r="Q103" s="3">
        <f t="shared" si="22"/>
        <v>0</v>
      </c>
      <c r="R103" s="1">
        <f t="shared" si="23"/>
        <v>1</v>
      </c>
      <c r="S103" s="18">
        <f>MIN('execs Table 7'!C93,'execs Table 7'!E93,'execs Table 7'!G93,'execs Table 7'!I93,'execs Table 7'!K93,'execs Table 7'!M93,'execs Table 7'!O93,'execs Table 7'!Q93,'execs Table 7'!S93,'execs Table 7'!U93)</f>
        <v>3</v>
      </c>
      <c r="T103" s="18">
        <f>SUM('execs Table 7'!D93,'execs Table 7'!F93,'execs Table 7'!H93,'execs Table 7'!J93,'execs Table 7'!L93,'execs Table 7'!N93,'execs Table 7'!P93,'execs Table 7'!R93,'execs Table 7'!T93,'execs Table 7'!V93)</f>
        <v>2.1000000881031156E-2</v>
      </c>
      <c r="U103" s="3">
        <f t="shared" si="24"/>
        <v>0</v>
      </c>
      <c r="V103" s="1">
        <f t="shared" si="25"/>
        <v>1</v>
      </c>
      <c r="W103" s="18">
        <f>MIN('execs Table 7'!G93,'execs Table 7'!I93,'execs Table 7'!K93,'execs Table 7'!M93,'execs Table 7'!O93,'execs Table 7'!Q93,'execs Table 7'!S93,'execs Table 7'!U93,'execs Table 7'!W93,'execs Table 7'!Y93,'execs Table 7'!C93,'execs Table 7'!E93,'execs Table 7'!AA93,'execs Table 7'!AC93,'execs Table 7'!AE93,'execs Table 7'!AG93,'execs Table 7'!AI93,'execs Table 7'!AK93,'execs Table 7'!AM93,'execs Table 7'!AO93)</f>
        <v>3</v>
      </c>
      <c r="X103" s="18">
        <f>SUM('execs Table 7'!H93,'execs Table 7'!J93,'execs Table 7'!L93,'execs Table 7'!N93,'execs Table 7'!P93,'execs Table 7'!R93,'execs Table 7'!T93,'execs Table 7'!V93,'execs Table 7'!X93,'execs Table 7'!Z93,'execs Table 7'!D93,'execs Table 7'!F93,'execs Table 7'!AB93,'execs Table 7'!AD93,'execs Table 7'!AF93,'execs Table 7'!AH93,'execs Table 7'!AJ93,'execs Table 7'!AL93,'execs Table 7'!AN93,'execs Table 7'!AP93)</f>
        <v>4.3000001693144441E-2</v>
      </c>
      <c r="Y103" s="3">
        <f t="shared" si="27"/>
        <v>0</v>
      </c>
      <c r="Z103" s="1">
        <f t="shared" si="28"/>
        <v>1</v>
      </c>
      <c r="AR103" s="2">
        <f t="shared" si="26"/>
        <v>3</v>
      </c>
    </row>
    <row r="104" spans="2:44" ht="16" x14ac:dyDescent="0.2">
      <c r="B104" s="18" t="s">
        <v>110</v>
      </c>
      <c r="C104" s="18">
        <v>3</v>
      </c>
      <c r="D104" s="37" t="s">
        <v>235</v>
      </c>
      <c r="E104" s="3">
        <f t="shared" si="16"/>
        <v>0</v>
      </c>
      <c r="F104" s="1">
        <f t="shared" si="19"/>
        <v>1</v>
      </c>
      <c r="G104" s="18">
        <v>3</v>
      </c>
      <c r="H104" s="37" t="s">
        <v>235</v>
      </c>
      <c r="I104" s="3">
        <f t="shared" si="17"/>
        <v>0</v>
      </c>
      <c r="J104" s="1">
        <f t="shared" si="18"/>
        <v>1</v>
      </c>
      <c r="K104" s="18">
        <v>3</v>
      </c>
      <c r="L104" s="37" t="s">
        <v>235</v>
      </c>
      <c r="M104" s="3">
        <f t="shared" si="20"/>
        <v>0</v>
      </c>
      <c r="N104" s="1">
        <f t="shared" si="21"/>
        <v>1</v>
      </c>
      <c r="O104" s="18">
        <f>'execs Table 7'!C94</f>
        <v>3</v>
      </c>
      <c r="P104" s="18">
        <f>'execs Table 7'!D94</f>
        <v>4.999999888241291E-3</v>
      </c>
      <c r="Q104" s="3">
        <f t="shared" si="22"/>
        <v>0</v>
      </c>
      <c r="R104" s="1">
        <f t="shared" si="23"/>
        <v>1</v>
      </c>
      <c r="S104" s="18">
        <f>MIN('execs Table 7'!C94,'execs Table 7'!E94,'execs Table 7'!G94,'execs Table 7'!I94,'execs Table 7'!K94,'execs Table 7'!M94,'execs Table 7'!O94,'execs Table 7'!Q94,'execs Table 7'!S94,'execs Table 7'!U94)</f>
        <v>3</v>
      </c>
      <c r="T104" s="18">
        <f>SUM('execs Table 7'!D94,'execs Table 7'!F94,'execs Table 7'!H94,'execs Table 7'!J94,'execs Table 7'!L94,'execs Table 7'!N94,'execs Table 7'!P94,'execs Table 7'!R94,'execs Table 7'!T94,'execs Table 7'!V94)</f>
        <v>5.3999999538064003E-2</v>
      </c>
      <c r="U104" s="3">
        <f t="shared" si="24"/>
        <v>0</v>
      </c>
      <c r="V104" s="1">
        <f t="shared" si="25"/>
        <v>1</v>
      </c>
      <c r="W104" s="18">
        <f>MIN('execs Table 7'!G94,'execs Table 7'!I94,'execs Table 7'!K94,'execs Table 7'!M94,'execs Table 7'!O94,'execs Table 7'!Q94,'execs Table 7'!S94,'execs Table 7'!U94,'execs Table 7'!W94,'execs Table 7'!Y94,'execs Table 7'!C94,'execs Table 7'!E94,'execs Table 7'!AA94,'execs Table 7'!AC94,'execs Table 7'!AE94,'execs Table 7'!AG94,'execs Table 7'!AI94,'execs Table 7'!AK94,'execs Table 7'!AM94,'execs Table 7'!AO94)</f>
        <v>3</v>
      </c>
      <c r="X104" s="18">
        <f>SUM('execs Table 7'!H94,'execs Table 7'!J94,'execs Table 7'!L94,'execs Table 7'!N94,'execs Table 7'!P94,'execs Table 7'!R94,'execs Table 7'!T94,'execs Table 7'!V94,'execs Table 7'!X94,'execs Table 7'!Z94,'execs Table 7'!D94,'execs Table 7'!F94,'execs Table 7'!AB94,'execs Table 7'!AD94,'execs Table 7'!AF94,'execs Table 7'!AH94,'execs Table 7'!AJ94,'execs Table 7'!AL94,'execs Table 7'!AN94,'execs Table 7'!AP94)</f>
        <v>0.11600000038743019</v>
      </c>
      <c r="Y104" s="3">
        <f t="shared" si="27"/>
        <v>0</v>
      </c>
      <c r="Z104" s="1">
        <f t="shared" si="28"/>
        <v>1</v>
      </c>
      <c r="AR104" s="2">
        <f t="shared" si="26"/>
        <v>3</v>
      </c>
    </row>
    <row r="105" spans="2:44" ht="16" x14ac:dyDescent="0.2">
      <c r="B105" s="18" t="s">
        <v>112</v>
      </c>
      <c r="C105" s="18">
        <v>113</v>
      </c>
      <c r="D105" s="37" t="s">
        <v>235</v>
      </c>
      <c r="E105" s="3">
        <f t="shared" si="16"/>
        <v>0.20212765957446807</v>
      </c>
      <c r="F105" s="1">
        <f t="shared" si="19"/>
        <v>0</v>
      </c>
      <c r="G105" s="18">
        <v>112</v>
      </c>
      <c r="H105" s="37" t="s">
        <v>235</v>
      </c>
      <c r="I105" s="3">
        <f t="shared" si="17"/>
        <v>0.19148936170212766</v>
      </c>
      <c r="J105" s="1">
        <f t="shared" si="18"/>
        <v>0</v>
      </c>
      <c r="K105" s="18">
        <v>112</v>
      </c>
      <c r="L105" s="37" t="s">
        <v>235</v>
      </c>
      <c r="M105" s="3">
        <f t="shared" si="20"/>
        <v>0.19148936170212766</v>
      </c>
      <c r="N105" s="1">
        <f t="shared" si="21"/>
        <v>0</v>
      </c>
      <c r="O105" s="18">
        <f>'execs Table 7'!C95</f>
        <v>94</v>
      </c>
      <c r="P105" s="18">
        <f>'execs Table 7'!D95</f>
        <v>0.12099999934434891</v>
      </c>
      <c r="Q105" s="3">
        <f t="shared" si="22"/>
        <v>0</v>
      </c>
      <c r="R105" s="1">
        <f t="shared" si="23"/>
        <v>1</v>
      </c>
      <c r="S105" s="18">
        <f>MIN('execs Table 7'!C95,'execs Table 7'!E95,'execs Table 7'!G95,'execs Table 7'!I95,'execs Table 7'!K95,'execs Table 7'!M95,'execs Table 7'!O95,'execs Table 7'!Q95,'execs Table 7'!S95,'execs Table 7'!U95)</f>
        <v>94</v>
      </c>
      <c r="T105" s="18">
        <f>SUM('execs Table 7'!D95,'execs Table 7'!F95,'execs Table 7'!H95,'execs Table 7'!J95,'execs Table 7'!L95,'execs Table 7'!N95,'execs Table 7'!P95,'execs Table 7'!R95,'execs Table 7'!T95,'execs Table 7'!V95)</f>
        <v>1.2920000031590462</v>
      </c>
      <c r="U105" s="3">
        <f t="shared" si="24"/>
        <v>0</v>
      </c>
      <c r="V105" s="1">
        <f t="shared" si="25"/>
        <v>1</v>
      </c>
      <c r="W105" s="18">
        <f>MIN('execs Table 7'!G95,'execs Table 7'!I95,'execs Table 7'!K95,'execs Table 7'!M95,'execs Table 7'!O95,'execs Table 7'!Q95,'execs Table 7'!S95,'execs Table 7'!U95,'execs Table 7'!W95,'execs Table 7'!Y95,'execs Table 7'!C95,'execs Table 7'!E95,'execs Table 7'!AA95,'execs Table 7'!AC95,'execs Table 7'!AE95,'execs Table 7'!AG95,'execs Table 7'!AI95,'execs Table 7'!AK95,'execs Table 7'!AM95,'execs Table 7'!AO95)</f>
        <v>94</v>
      </c>
      <c r="X105" s="18">
        <f>SUM('execs Table 7'!H95,'execs Table 7'!J95,'execs Table 7'!L95,'execs Table 7'!N95,'execs Table 7'!P95,'execs Table 7'!R95,'execs Table 7'!T95,'execs Table 7'!V95,'execs Table 7'!X95,'execs Table 7'!Z95,'execs Table 7'!D95,'execs Table 7'!F95,'execs Table 7'!AB95,'execs Table 7'!AD95,'execs Table 7'!AF95,'execs Table 7'!AH95,'execs Table 7'!AJ95,'execs Table 7'!AL95,'execs Table 7'!AN95,'execs Table 7'!AP95)</f>
        <v>2.5920000001788139</v>
      </c>
      <c r="Y105" s="3">
        <f t="shared" si="27"/>
        <v>0</v>
      </c>
      <c r="Z105" s="1">
        <f t="shared" si="28"/>
        <v>1</v>
      </c>
      <c r="AR105" s="2">
        <f t="shared" si="26"/>
        <v>94</v>
      </c>
    </row>
    <row r="106" spans="2:44" ht="16" x14ac:dyDescent="0.2">
      <c r="B106" s="18" t="s">
        <v>111</v>
      </c>
      <c r="C106" s="18">
        <v>113</v>
      </c>
      <c r="D106" s="37" t="s">
        <v>235</v>
      </c>
      <c r="E106" s="3">
        <f t="shared" si="16"/>
        <v>0.20212765957446807</v>
      </c>
      <c r="F106" s="1">
        <f t="shared" si="19"/>
        <v>0</v>
      </c>
      <c r="G106" s="18">
        <v>112</v>
      </c>
      <c r="H106" s="37" t="s">
        <v>235</v>
      </c>
      <c r="I106" s="3">
        <f t="shared" si="17"/>
        <v>0.19148936170212766</v>
      </c>
      <c r="J106" s="1">
        <f t="shared" si="18"/>
        <v>0</v>
      </c>
      <c r="K106" s="18">
        <v>111</v>
      </c>
      <c r="L106" s="37" t="s">
        <v>235</v>
      </c>
      <c r="M106" s="3">
        <f t="shared" si="20"/>
        <v>0.18085106382978725</v>
      </c>
      <c r="N106" s="1">
        <f t="shared" si="21"/>
        <v>0</v>
      </c>
      <c r="O106" s="18">
        <f>'execs Table 7'!C96</f>
        <v>94</v>
      </c>
      <c r="P106" s="18">
        <f>'execs Table 7'!D96</f>
        <v>0.11900000274181366</v>
      </c>
      <c r="Q106" s="3">
        <f t="shared" si="22"/>
        <v>0</v>
      </c>
      <c r="R106" s="1">
        <f t="shared" si="23"/>
        <v>1</v>
      </c>
      <c r="S106" s="18">
        <f>MIN('execs Table 7'!C96,'execs Table 7'!E96,'execs Table 7'!G96,'execs Table 7'!I96,'execs Table 7'!K96,'execs Table 7'!M96,'execs Table 7'!O96,'execs Table 7'!Q96,'execs Table 7'!S96,'execs Table 7'!U96)</f>
        <v>94</v>
      </c>
      <c r="T106" s="18">
        <f>SUM('execs Table 7'!D96,'execs Table 7'!F96,'execs Table 7'!H96,'execs Table 7'!J96,'execs Table 7'!L96,'execs Table 7'!N96,'execs Table 7'!P96,'execs Table 7'!R96,'execs Table 7'!T96,'execs Table 7'!V96)</f>
        <v>1.2050000056624413</v>
      </c>
      <c r="U106" s="3">
        <f t="shared" si="24"/>
        <v>0</v>
      </c>
      <c r="V106" s="1">
        <f t="shared" si="25"/>
        <v>1</v>
      </c>
      <c r="W106" s="18">
        <f>MIN('execs Table 7'!G96,'execs Table 7'!I96,'execs Table 7'!K96,'execs Table 7'!M96,'execs Table 7'!O96,'execs Table 7'!Q96,'execs Table 7'!S96,'execs Table 7'!U96,'execs Table 7'!W96,'execs Table 7'!Y96,'execs Table 7'!C96,'execs Table 7'!E96,'execs Table 7'!AA96,'execs Table 7'!AC96,'execs Table 7'!AE96,'execs Table 7'!AG96,'execs Table 7'!AI96,'execs Table 7'!AK96,'execs Table 7'!AM96,'execs Table 7'!AO96)</f>
        <v>94</v>
      </c>
      <c r="X106" s="18">
        <f>SUM('execs Table 7'!H96,'execs Table 7'!J96,'execs Table 7'!L96,'execs Table 7'!N96,'execs Table 7'!P96,'execs Table 7'!R96,'execs Table 7'!T96,'execs Table 7'!V96,'execs Table 7'!X96,'execs Table 7'!Z96,'execs Table 7'!D96,'execs Table 7'!F96,'execs Table 7'!AB96,'execs Table 7'!AD96,'execs Table 7'!AF96,'execs Table 7'!AH96,'execs Table 7'!AJ96,'execs Table 7'!AL96,'execs Table 7'!AN96,'execs Table 7'!AP96)</f>
        <v>2.4330000206828117</v>
      </c>
      <c r="Y106" s="3">
        <f t="shared" si="27"/>
        <v>0</v>
      </c>
      <c r="Z106" s="1">
        <f t="shared" si="28"/>
        <v>1</v>
      </c>
      <c r="AR106" s="2">
        <f t="shared" si="26"/>
        <v>94</v>
      </c>
    </row>
    <row r="107" spans="2:44" ht="16" x14ac:dyDescent="0.2">
      <c r="B107" s="18" t="s">
        <v>113</v>
      </c>
      <c r="C107" s="18">
        <v>71</v>
      </c>
      <c r="D107" s="37" t="s">
        <v>235</v>
      </c>
      <c r="E107" s="3">
        <f t="shared" si="16"/>
        <v>0.14516129032258066</v>
      </c>
      <c r="F107" s="1">
        <f t="shared" si="19"/>
        <v>0</v>
      </c>
      <c r="G107" s="18">
        <v>71</v>
      </c>
      <c r="H107" s="37" t="s">
        <v>235</v>
      </c>
      <c r="I107" s="3">
        <f t="shared" si="17"/>
        <v>0.14516129032258066</v>
      </c>
      <c r="J107" s="1">
        <f t="shared" si="18"/>
        <v>0</v>
      </c>
      <c r="K107" s="18">
        <v>68</v>
      </c>
      <c r="L107" s="37" t="s">
        <v>235</v>
      </c>
      <c r="M107" s="3">
        <f t="shared" si="20"/>
        <v>9.6774193548387094E-2</v>
      </c>
      <c r="N107" s="1">
        <f t="shared" si="21"/>
        <v>0</v>
      </c>
      <c r="O107" s="18">
        <f>'execs Table 7'!C97</f>
        <v>64</v>
      </c>
      <c r="P107" s="18">
        <f>'execs Table 7'!D97</f>
        <v>0.37900000810623169</v>
      </c>
      <c r="Q107" s="3">
        <f t="shared" si="22"/>
        <v>3.2258064516129031E-2</v>
      </c>
      <c r="R107" s="1">
        <f t="shared" si="23"/>
        <v>0</v>
      </c>
      <c r="S107" s="18">
        <f>MIN('execs Table 7'!C97,'execs Table 7'!E97,'execs Table 7'!G97,'execs Table 7'!I97,'execs Table 7'!K97,'execs Table 7'!M97,'execs Table 7'!O97,'execs Table 7'!Q97,'execs Table 7'!S97,'execs Table 7'!U97)</f>
        <v>62</v>
      </c>
      <c r="T107" s="18">
        <f>SUM('execs Table 7'!D97,'execs Table 7'!F97,'execs Table 7'!H97,'execs Table 7'!J97,'execs Table 7'!L97,'execs Table 7'!N97,'execs Table 7'!P97,'execs Table 7'!R97,'execs Table 7'!T97,'execs Table 7'!V97)</f>
        <v>3.2399999797344208</v>
      </c>
      <c r="U107" s="3">
        <f t="shared" si="24"/>
        <v>0</v>
      </c>
      <c r="V107" s="1">
        <f t="shared" si="25"/>
        <v>1</v>
      </c>
      <c r="W107" s="18">
        <f>MIN('execs Table 7'!G97,'execs Table 7'!I97,'execs Table 7'!K97,'execs Table 7'!M97,'execs Table 7'!O97,'execs Table 7'!Q97,'execs Table 7'!S97,'execs Table 7'!U97,'execs Table 7'!W97,'execs Table 7'!Y97,'execs Table 7'!C97,'execs Table 7'!E97,'execs Table 7'!AA97,'execs Table 7'!AC97,'execs Table 7'!AE97,'execs Table 7'!AG97,'execs Table 7'!AI97,'execs Table 7'!AK97,'execs Table 7'!AM97,'execs Table 7'!AO97)</f>
        <v>62</v>
      </c>
      <c r="X107" s="18">
        <f>SUM('execs Table 7'!H97,'execs Table 7'!J97,'execs Table 7'!L97,'execs Table 7'!N97,'execs Table 7'!P97,'execs Table 7'!R97,'execs Table 7'!T97,'execs Table 7'!V97,'execs Table 7'!X97,'execs Table 7'!Z97,'execs Table 7'!D97,'execs Table 7'!F97,'execs Table 7'!AB97,'execs Table 7'!AD97,'execs Table 7'!AF97,'execs Table 7'!AH97,'execs Table 7'!AJ97,'execs Table 7'!AL97,'execs Table 7'!AN97,'execs Table 7'!AP97)</f>
        <v>5.8959999978542328</v>
      </c>
      <c r="Y107" s="3">
        <f t="shared" si="27"/>
        <v>0</v>
      </c>
      <c r="Z107" s="1">
        <f t="shared" si="28"/>
        <v>1</v>
      </c>
      <c r="AR107" s="2">
        <f t="shared" si="26"/>
        <v>62</v>
      </c>
    </row>
    <row r="108" spans="2:44" ht="16" x14ac:dyDescent="0.2">
      <c r="B108" s="18" t="s">
        <v>115</v>
      </c>
      <c r="C108" s="18">
        <v>151</v>
      </c>
      <c r="D108" s="37" t="s">
        <v>235</v>
      </c>
      <c r="E108" s="3">
        <f t="shared" ref="E108:E128" si="29">(C108-$AR108)/$AR108</f>
        <v>0.13533834586466165</v>
      </c>
      <c r="F108" s="1">
        <f t="shared" si="19"/>
        <v>0</v>
      </c>
      <c r="G108" s="18">
        <v>146</v>
      </c>
      <c r="H108" s="37" t="s">
        <v>235</v>
      </c>
      <c r="I108" s="3">
        <f t="shared" si="17"/>
        <v>9.7744360902255634E-2</v>
      </c>
      <c r="J108" s="1">
        <f t="shared" si="18"/>
        <v>0</v>
      </c>
      <c r="K108" s="18">
        <v>140</v>
      </c>
      <c r="L108" s="37" t="s">
        <v>235</v>
      </c>
      <c r="M108" s="3">
        <f t="shared" si="20"/>
        <v>5.2631578947368418E-2</v>
      </c>
      <c r="N108" s="1">
        <f t="shared" si="21"/>
        <v>0</v>
      </c>
      <c r="O108" s="18">
        <f>'execs Table 7'!C98</f>
        <v>135</v>
      </c>
      <c r="P108" s="18">
        <f>'execs Table 7'!D98</f>
        <v>0.25999999046325684</v>
      </c>
      <c r="Q108" s="3">
        <f t="shared" si="22"/>
        <v>1.5037593984962405E-2</v>
      </c>
      <c r="R108" s="1">
        <f t="shared" si="23"/>
        <v>0</v>
      </c>
      <c r="S108" s="18">
        <f>MIN('execs Table 7'!C98,'execs Table 7'!E98,'execs Table 7'!G98,'execs Table 7'!I98,'execs Table 7'!K98,'execs Table 7'!M98,'execs Table 7'!O98,'execs Table 7'!Q98,'execs Table 7'!S98,'execs Table 7'!U98)</f>
        <v>135</v>
      </c>
      <c r="T108" s="18">
        <f>SUM('execs Table 7'!D98,'execs Table 7'!F98,'execs Table 7'!H98,'execs Table 7'!J98,'execs Table 7'!L98,'execs Table 7'!N98,'execs Table 7'!P98,'execs Table 7'!R98,'execs Table 7'!T98,'execs Table 7'!V98)</f>
        <v>2.443000003695488</v>
      </c>
      <c r="U108" s="3">
        <f t="shared" si="24"/>
        <v>1.5037593984962405E-2</v>
      </c>
      <c r="V108" s="1">
        <f t="shared" si="25"/>
        <v>0</v>
      </c>
      <c r="W108" s="18">
        <f>MIN('execs Table 7'!G98,'execs Table 7'!I98,'execs Table 7'!K98,'execs Table 7'!M98,'execs Table 7'!O98,'execs Table 7'!Q98,'execs Table 7'!S98,'execs Table 7'!U98,'execs Table 7'!W98,'execs Table 7'!Y98,'execs Table 7'!C98,'execs Table 7'!E98,'execs Table 7'!AA98,'execs Table 7'!AC98,'execs Table 7'!AE98,'execs Table 7'!AG98,'execs Table 7'!AI98,'execs Table 7'!AK98,'execs Table 7'!AM98,'execs Table 7'!AO98)</f>
        <v>133</v>
      </c>
      <c r="X108" s="18">
        <f>SUM('execs Table 7'!H98,'execs Table 7'!J98,'execs Table 7'!L98,'execs Table 7'!N98,'execs Table 7'!P98,'execs Table 7'!R98,'execs Table 7'!T98,'execs Table 7'!V98,'execs Table 7'!X98,'execs Table 7'!Z98,'execs Table 7'!D98,'execs Table 7'!F98,'execs Table 7'!AB98,'execs Table 7'!AD98,'execs Table 7'!AF98,'execs Table 7'!AH98,'execs Table 7'!AJ98,'execs Table 7'!AL98,'execs Table 7'!AN98,'execs Table 7'!AP98)</f>
        <v>5.0479999929666519</v>
      </c>
      <c r="Y108" s="3">
        <f t="shared" si="27"/>
        <v>0</v>
      </c>
      <c r="Z108" s="1">
        <f t="shared" si="28"/>
        <v>1</v>
      </c>
      <c r="AR108" s="2">
        <f t="shared" si="26"/>
        <v>133</v>
      </c>
    </row>
    <row r="109" spans="2:44" ht="16" x14ac:dyDescent="0.2">
      <c r="B109" s="18" t="s">
        <v>116</v>
      </c>
      <c r="C109" s="18">
        <v>228</v>
      </c>
      <c r="D109" s="37" t="s">
        <v>235</v>
      </c>
      <c r="E109" s="3">
        <f t="shared" si="29"/>
        <v>0.12315270935960591</v>
      </c>
      <c r="F109" s="1">
        <f t="shared" si="19"/>
        <v>0</v>
      </c>
      <c r="G109" s="18">
        <v>226</v>
      </c>
      <c r="H109" s="37" t="s">
        <v>235</v>
      </c>
      <c r="I109" s="3">
        <f t="shared" si="17"/>
        <v>0.11330049261083744</v>
      </c>
      <c r="J109" s="1">
        <f t="shared" si="18"/>
        <v>0</v>
      </c>
      <c r="K109" s="18">
        <v>217</v>
      </c>
      <c r="L109" s="37" t="s">
        <v>235</v>
      </c>
      <c r="M109" s="3">
        <f t="shared" si="20"/>
        <v>6.8965517241379309E-2</v>
      </c>
      <c r="N109" s="1">
        <f t="shared" si="21"/>
        <v>0</v>
      </c>
      <c r="O109" s="18">
        <f>'execs Table 7'!C99</f>
        <v>205</v>
      </c>
      <c r="P109" s="18">
        <f>'execs Table 7'!D99</f>
        <v>0.55900001525878906</v>
      </c>
      <c r="Q109" s="3">
        <f t="shared" si="22"/>
        <v>9.852216748768473E-3</v>
      </c>
      <c r="R109" s="1">
        <f t="shared" si="23"/>
        <v>0</v>
      </c>
      <c r="S109" s="18">
        <f>MIN('execs Table 7'!C99,'execs Table 7'!E99,'execs Table 7'!G99,'execs Table 7'!I99,'execs Table 7'!K99,'execs Table 7'!M99,'execs Table 7'!O99,'execs Table 7'!Q99,'execs Table 7'!S99,'execs Table 7'!U99)</f>
        <v>204</v>
      </c>
      <c r="T109" s="18">
        <f>SUM('execs Table 7'!D99,'execs Table 7'!F99,'execs Table 7'!H99,'execs Table 7'!J99,'execs Table 7'!L99,'execs Table 7'!N99,'execs Table 7'!P99,'execs Table 7'!R99,'execs Table 7'!T99,'execs Table 7'!V99)</f>
        <v>6.4460000693798065</v>
      </c>
      <c r="U109" s="3">
        <f t="shared" si="24"/>
        <v>4.9261083743842365E-3</v>
      </c>
      <c r="V109" s="1">
        <f t="shared" si="25"/>
        <v>0</v>
      </c>
      <c r="W109" s="18">
        <f>MIN('execs Table 7'!G99,'execs Table 7'!I99,'execs Table 7'!K99,'execs Table 7'!M99,'execs Table 7'!O99,'execs Table 7'!Q99,'execs Table 7'!S99,'execs Table 7'!U99,'execs Table 7'!W99,'execs Table 7'!Y99,'execs Table 7'!C99,'execs Table 7'!E99,'execs Table 7'!AA99,'execs Table 7'!AC99,'execs Table 7'!AE99,'execs Table 7'!AG99,'execs Table 7'!AI99,'execs Table 7'!AK99,'execs Table 7'!AM99,'execs Table 7'!AO99)</f>
        <v>203</v>
      </c>
      <c r="X109" s="18">
        <f>SUM('execs Table 7'!H99,'execs Table 7'!J99,'execs Table 7'!L99,'execs Table 7'!N99,'execs Table 7'!P99,'execs Table 7'!R99,'execs Table 7'!T99,'execs Table 7'!V99,'execs Table 7'!X99,'execs Table 7'!Z99,'execs Table 7'!D99,'execs Table 7'!F99,'execs Table 7'!AB99,'execs Table 7'!AD99,'execs Table 7'!AF99,'execs Table 7'!AH99,'execs Table 7'!AJ99,'execs Table 7'!AL99,'execs Table 7'!AN99,'execs Table 7'!AP99)</f>
        <v>11.874000072479248</v>
      </c>
      <c r="Y109" s="3">
        <f t="shared" si="27"/>
        <v>0</v>
      </c>
      <c r="Z109" s="1">
        <f t="shared" si="28"/>
        <v>1</v>
      </c>
      <c r="AR109" s="2">
        <f t="shared" si="26"/>
        <v>203</v>
      </c>
    </row>
    <row r="110" spans="2:44" ht="16" x14ac:dyDescent="0.2">
      <c r="B110" s="18" t="s">
        <v>114</v>
      </c>
      <c r="C110" s="18">
        <v>598</v>
      </c>
      <c r="D110" s="37" t="s">
        <v>235</v>
      </c>
      <c r="E110" s="3">
        <f t="shared" si="29"/>
        <v>0.21052631578947367</v>
      </c>
      <c r="F110" s="1">
        <f t="shared" si="19"/>
        <v>0</v>
      </c>
      <c r="G110" s="18">
        <v>586</v>
      </c>
      <c r="H110" s="37" t="s">
        <v>235</v>
      </c>
      <c r="I110" s="3">
        <f t="shared" si="17"/>
        <v>0.18623481781376519</v>
      </c>
      <c r="J110" s="1">
        <f t="shared" si="18"/>
        <v>0</v>
      </c>
      <c r="K110" s="18">
        <v>568</v>
      </c>
      <c r="L110" s="37" t="s">
        <v>235</v>
      </c>
      <c r="M110" s="3">
        <f t="shared" si="20"/>
        <v>0.14979757085020243</v>
      </c>
      <c r="N110" s="1">
        <f t="shared" si="21"/>
        <v>0</v>
      </c>
      <c r="O110" s="18">
        <f>'execs Table 7'!C100</f>
        <v>506</v>
      </c>
      <c r="P110" s="18">
        <f>'execs Table 7'!D100</f>
        <v>4.8850002288818359</v>
      </c>
      <c r="Q110" s="3">
        <f t="shared" si="22"/>
        <v>2.4291497975708502E-2</v>
      </c>
      <c r="R110" s="1">
        <f t="shared" si="23"/>
        <v>0</v>
      </c>
      <c r="S110" s="18">
        <f>MIN('execs Table 7'!C100,'execs Table 7'!E100,'execs Table 7'!G100,'execs Table 7'!I100,'execs Table 7'!K100,'execs Table 7'!M100,'execs Table 7'!O100,'execs Table 7'!Q100,'execs Table 7'!S100,'execs Table 7'!U100)</f>
        <v>494</v>
      </c>
      <c r="T110" s="18">
        <f>SUM('execs Table 7'!D100,'execs Table 7'!F100,'execs Table 7'!H100,'execs Table 7'!J100,'execs Table 7'!L100,'execs Table 7'!N100,'execs Table 7'!P100,'execs Table 7'!R100,'execs Table 7'!T100,'execs Table 7'!V100)</f>
        <v>45.32699990272522</v>
      </c>
      <c r="U110" s="3">
        <f t="shared" si="24"/>
        <v>0</v>
      </c>
      <c r="V110" s="1">
        <f t="shared" si="25"/>
        <v>1</v>
      </c>
      <c r="W110" s="18">
        <f>MIN('execs Table 7'!G100,'execs Table 7'!I100,'execs Table 7'!K100,'execs Table 7'!M100,'execs Table 7'!O100,'execs Table 7'!Q100,'execs Table 7'!S100,'execs Table 7'!U100,'execs Table 7'!W100,'execs Table 7'!Y100,'execs Table 7'!C100,'execs Table 7'!E100,'execs Table 7'!AA100,'execs Table 7'!AC100,'execs Table 7'!AE100,'execs Table 7'!AG100,'execs Table 7'!AI100,'execs Table 7'!AK100,'execs Table 7'!AM100,'execs Table 7'!AO100)</f>
        <v>494</v>
      </c>
      <c r="X110" s="18">
        <f>SUM('execs Table 7'!H100,'execs Table 7'!J100,'execs Table 7'!L100,'execs Table 7'!N100,'execs Table 7'!P100,'execs Table 7'!R100,'execs Table 7'!T100,'execs Table 7'!V100,'execs Table 7'!X100,'execs Table 7'!Z100,'execs Table 7'!D100,'execs Table 7'!F100,'execs Table 7'!AB100,'execs Table 7'!AD100,'execs Table 7'!AF100,'execs Table 7'!AH100,'execs Table 7'!AJ100,'execs Table 7'!AL100,'execs Table 7'!AN100,'execs Table 7'!AP100)</f>
        <v>85.318999409675598</v>
      </c>
      <c r="Y110" s="3">
        <f t="shared" si="27"/>
        <v>0</v>
      </c>
      <c r="Z110" s="1">
        <f t="shared" si="28"/>
        <v>1</v>
      </c>
      <c r="AR110" s="2">
        <f t="shared" si="26"/>
        <v>494</v>
      </c>
    </row>
    <row r="111" spans="2:44" ht="16" x14ac:dyDescent="0.2">
      <c r="B111" s="18" t="s">
        <v>117</v>
      </c>
      <c r="C111" s="18">
        <v>38</v>
      </c>
      <c r="D111" s="37" t="s">
        <v>235</v>
      </c>
      <c r="E111" s="3">
        <f t="shared" si="29"/>
        <v>8.5714285714285715E-2</v>
      </c>
      <c r="F111" s="1">
        <f t="shared" si="19"/>
        <v>0</v>
      </c>
      <c r="G111" s="18">
        <v>36</v>
      </c>
      <c r="H111" s="37" t="s">
        <v>235</v>
      </c>
      <c r="I111" s="3">
        <f t="shared" si="17"/>
        <v>2.8571428571428571E-2</v>
      </c>
      <c r="J111" s="1">
        <f t="shared" si="18"/>
        <v>0</v>
      </c>
      <c r="K111" s="18">
        <v>35</v>
      </c>
      <c r="L111" s="37" t="s">
        <v>235</v>
      </c>
      <c r="M111" s="3">
        <f t="shared" si="20"/>
        <v>0</v>
      </c>
      <c r="N111" s="1">
        <f t="shared" si="21"/>
        <v>1</v>
      </c>
      <c r="O111" s="18">
        <f>'execs Table 7'!C101</f>
        <v>35</v>
      </c>
      <c r="P111" s="18">
        <f>'execs Table 7'!D101</f>
        <v>0.87400001287460327</v>
      </c>
      <c r="Q111" s="3">
        <f t="shared" si="22"/>
        <v>0</v>
      </c>
      <c r="R111" s="1">
        <f t="shared" si="23"/>
        <v>1</v>
      </c>
      <c r="S111" s="18">
        <f>MIN('execs Table 7'!C101,'execs Table 7'!E101,'execs Table 7'!G101,'execs Table 7'!I101,'execs Table 7'!K101,'execs Table 7'!M101,'execs Table 7'!O101,'execs Table 7'!Q101,'execs Table 7'!S101,'execs Table 7'!U101)</f>
        <v>35</v>
      </c>
      <c r="T111" s="18">
        <f>SUM('execs Table 7'!D101,'execs Table 7'!F101,'execs Table 7'!H101,'execs Table 7'!J101,'execs Table 7'!L101,'execs Table 7'!N101,'execs Table 7'!P101,'execs Table 7'!R101,'execs Table 7'!T101,'execs Table 7'!V101)</f>
        <v>8.8769999742507935</v>
      </c>
      <c r="U111" s="3">
        <f t="shared" si="24"/>
        <v>0</v>
      </c>
      <c r="V111" s="1">
        <f t="shared" si="25"/>
        <v>1</v>
      </c>
      <c r="W111" s="18">
        <f>MIN('execs Table 7'!G101,'execs Table 7'!I101,'execs Table 7'!K101,'execs Table 7'!M101,'execs Table 7'!O101,'execs Table 7'!Q101,'execs Table 7'!S101,'execs Table 7'!U101,'execs Table 7'!W101,'execs Table 7'!Y101,'execs Table 7'!C101,'execs Table 7'!E101,'execs Table 7'!AA101,'execs Table 7'!AC101,'execs Table 7'!AE101,'execs Table 7'!AG101,'execs Table 7'!AI101,'execs Table 7'!AK101,'execs Table 7'!AM101,'execs Table 7'!AO101)</f>
        <v>35</v>
      </c>
      <c r="X111" s="18">
        <f>SUM('execs Table 7'!H101,'execs Table 7'!J101,'execs Table 7'!L101,'execs Table 7'!N101,'execs Table 7'!P101,'execs Table 7'!R101,'execs Table 7'!T101,'execs Table 7'!V101,'execs Table 7'!X101,'execs Table 7'!Z101,'execs Table 7'!D101,'execs Table 7'!F101,'execs Table 7'!AB101,'execs Table 7'!AD101,'execs Table 7'!AF101,'execs Table 7'!AH101,'execs Table 7'!AJ101,'execs Table 7'!AL101,'execs Table 7'!AN101,'execs Table 7'!AP101)</f>
        <v>17.866000056266785</v>
      </c>
      <c r="Y111" s="3">
        <f t="shared" si="27"/>
        <v>0</v>
      </c>
      <c r="Z111" s="1">
        <f t="shared" si="28"/>
        <v>1</v>
      </c>
      <c r="AR111" s="2">
        <f t="shared" si="26"/>
        <v>35</v>
      </c>
    </row>
    <row r="112" spans="2:44" ht="16" x14ac:dyDescent="0.2">
      <c r="B112" s="18" t="s">
        <v>118</v>
      </c>
      <c r="C112" s="18">
        <v>38</v>
      </c>
      <c r="D112" s="37" t="s">
        <v>235</v>
      </c>
      <c r="E112" s="3">
        <f t="shared" si="29"/>
        <v>8.5714285714285715E-2</v>
      </c>
      <c r="F112" s="1">
        <f t="shared" si="19"/>
        <v>0</v>
      </c>
      <c r="G112" s="18">
        <v>36</v>
      </c>
      <c r="H112" s="37" t="s">
        <v>235</v>
      </c>
      <c r="I112" s="3">
        <f t="shared" si="17"/>
        <v>2.8571428571428571E-2</v>
      </c>
      <c r="J112" s="1">
        <f t="shared" si="18"/>
        <v>0</v>
      </c>
      <c r="K112" s="18">
        <v>35</v>
      </c>
      <c r="L112" s="37" t="s">
        <v>235</v>
      </c>
      <c r="M112" s="3">
        <f t="shared" si="20"/>
        <v>0</v>
      </c>
      <c r="N112" s="1">
        <f t="shared" si="21"/>
        <v>1</v>
      </c>
      <c r="O112" s="18">
        <f>'execs Table 7'!C102</f>
        <v>35</v>
      </c>
      <c r="P112" s="18">
        <f>'execs Table 7'!D102</f>
        <v>0.82099997997283936</v>
      </c>
      <c r="Q112" s="3">
        <f t="shared" si="22"/>
        <v>0</v>
      </c>
      <c r="R112" s="1">
        <f t="shared" si="23"/>
        <v>1</v>
      </c>
      <c r="S112" s="18">
        <f>MIN('execs Table 7'!C102,'execs Table 7'!E102,'execs Table 7'!G102,'execs Table 7'!I102,'execs Table 7'!K102,'execs Table 7'!M102,'execs Table 7'!O102,'execs Table 7'!Q102,'execs Table 7'!S102,'execs Table 7'!U102)</f>
        <v>35</v>
      </c>
      <c r="T112" s="18">
        <f>SUM('execs Table 7'!D102,'execs Table 7'!F102,'execs Table 7'!H102,'execs Table 7'!J102,'execs Table 7'!L102,'execs Table 7'!N102,'execs Table 7'!P102,'execs Table 7'!R102,'execs Table 7'!T102,'execs Table 7'!V102)</f>
        <v>9.2290000319480896</v>
      </c>
      <c r="U112" s="3">
        <f t="shared" si="24"/>
        <v>0</v>
      </c>
      <c r="V112" s="1">
        <f t="shared" si="25"/>
        <v>1</v>
      </c>
      <c r="W112" s="18">
        <f>MIN('execs Table 7'!G102,'execs Table 7'!I102,'execs Table 7'!K102,'execs Table 7'!M102,'execs Table 7'!O102,'execs Table 7'!Q102,'execs Table 7'!S102,'execs Table 7'!U102,'execs Table 7'!W102,'execs Table 7'!Y102,'execs Table 7'!C102,'execs Table 7'!E102,'execs Table 7'!AA102,'execs Table 7'!AC102,'execs Table 7'!AE102,'execs Table 7'!AG102,'execs Table 7'!AI102,'execs Table 7'!AK102,'execs Table 7'!AM102,'execs Table 7'!AO102)</f>
        <v>35</v>
      </c>
      <c r="X112" s="18">
        <f>SUM('execs Table 7'!H102,'execs Table 7'!J102,'execs Table 7'!L102,'execs Table 7'!N102,'execs Table 7'!P102,'execs Table 7'!R102,'execs Table 7'!T102,'execs Table 7'!V102,'execs Table 7'!X102,'execs Table 7'!Z102,'execs Table 7'!D102,'execs Table 7'!F102,'execs Table 7'!AB102,'execs Table 7'!AD102,'execs Table 7'!AF102,'execs Table 7'!AH102,'execs Table 7'!AJ102,'execs Table 7'!AL102,'execs Table 7'!AN102,'execs Table 7'!AP102)</f>
        <v>18.487000107765198</v>
      </c>
      <c r="Y112" s="3">
        <f t="shared" si="27"/>
        <v>0</v>
      </c>
      <c r="Z112" s="1">
        <f t="shared" si="28"/>
        <v>1</v>
      </c>
      <c r="AR112" s="2">
        <f t="shared" si="26"/>
        <v>35</v>
      </c>
    </row>
    <row r="113" spans="2:44" ht="16" x14ac:dyDescent="0.2">
      <c r="B113" s="18" t="s">
        <v>119</v>
      </c>
      <c r="C113" s="18">
        <v>206</v>
      </c>
      <c r="D113" s="37" t="s">
        <v>235</v>
      </c>
      <c r="E113" s="3">
        <f t="shared" si="29"/>
        <v>9.5744680851063829E-2</v>
      </c>
      <c r="F113" s="1">
        <f t="shared" si="19"/>
        <v>0</v>
      </c>
      <c r="G113" s="18">
        <v>205</v>
      </c>
      <c r="H113" s="37" t="s">
        <v>235</v>
      </c>
      <c r="I113" s="3">
        <f t="shared" si="17"/>
        <v>9.0425531914893623E-2</v>
      </c>
      <c r="J113" s="1">
        <f t="shared" si="18"/>
        <v>0</v>
      </c>
      <c r="K113" s="18">
        <v>205</v>
      </c>
      <c r="L113" s="37" t="s">
        <v>235</v>
      </c>
      <c r="M113" s="3">
        <f t="shared" si="20"/>
        <v>9.0425531914893623E-2</v>
      </c>
      <c r="N113" s="1">
        <f t="shared" si="21"/>
        <v>0</v>
      </c>
      <c r="O113" s="18">
        <f>'execs Table 7'!C103</f>
        <v>190</v>
      </c>
      <c r="P113" s="18">
        <f>'execs Table 7'!D103</f>
        <v>0.18500000238418579</v>
      </c>
      <c r="Q113" s="3">
        <f t="shared" si="22"/>
        <v>1.0638297872340425E-2</v>
      </c>
      <c r="R113" s="1">
        <f t="shared" si="23"/>
        <v>0</v>
      </c>
      <c r="S113" s="18">
        <f>MIN('execs Table 7'!C103,'execs Table 7'!E103,'execs Table 7'!G103,'execs Table 7'!I103,'execs Table 7'!K103,'execs Table 7'!M103,'execs Table 7'!O103,'execs Table 7'!Q103,'execs Table 7'!S103,'execs Table 7'!U103)</f>
        <v>188</v>
      </c>
      <c r="T113" s="18">
        <f>SUM('execs Table 7'!D103,'execs Table 7'!F103,'execs Table 7'!H103,'execs Table 7'!J103,'execs Table 7'!L103,'execs Table 7'!N103,'execs Table 7'!P103,'execs Table 7'!R103,'execs Table 7'!T103,'execs Table 7'!V103)</f>
        <v>1.6509999930858612</v>
      </c>
      <c r="U113" s="3">
        <f t="shared" si="24"/>
        <v>0</v>
      </c>
      <c r="V113" s="1">
        <f t="shared" si="25"/>
        <v>1</v>
      </c>
      <c r="W113" s="18">
        <f>MIN('execs Table 7'!G103,'execs Table 7'!I103,'execs Table 7'!K103,'execs Table 7'!M103,'execs Table 7'!O103,'execs Table 7'!Q103,'execs Table 7'!S103,'execs Table 7'!U103,'execs Table 7'!W103,'execs Table 7'!Y103,'execs Table 7'!C103,'execs Table 7'!E103,'execs Table 7'!AA103,'execs Table 7'!AC103,'execs Table 7'!AE103,'execs Table 7'!AG103,'execs Table 7'!AI103,'execs Table 7'!AK103,'execs Table 7'!AM103,'execs Table 7'!AO103)</f>
        <v>188</v>
      </c>
      <c r="X113" s="18">
        <f>SUM('execs Table 7'!H103,'execs Table 7'!J103,'execs Table 7'!L103,'execs Table 7'!N103,'execs Table 7'!P103,'execs Table 7'!R103,'execs Table 7'!T103,'execs Table 7'!V103,'execs Table 7'!X103,'execs Table 7'!Z103,'execs Table 7'!D103,'execs Table 7'!F103,'execs Table 7'!AB103,'execs Table 7'!AD103,'execs Table 7'!AF103,'execs Table 7'!AH103,'execs Table 7'!AJ103,'execs Table 7'!AL103,'execs Table 7'!AN103,'execs Table 7'!AP103)</f>
        <v>3.2480000108480453</v>
      </c>
      <c r="Y113" s="3">
        <f t="shared" si="27"/>
        <v>0</v>
      </c>
      <c r="Z113" s="1">
        <f t="shared" si="28"/>
        <v>1</v>
      </c>
      <c r="AR113" s="2">
        <f t="shared" si="26"/>
        <v>188</v>
      </c>
    </row>
    <row r="114" spans="2:44" ht="16" x14ac:dyDescent="0.2">
      <c r="B114" s="18" t="s">
        <v>120</v>
      </c>
      <c r="C114" s="18">
        <v>859</v>
      </c>
      <c r="D114" s="37" t="s">
        <v>235</v>
      </c>
      <c r="E114" s="3">
        <f t="shared" si="29"/>
        <v>0.12287581699346405</v>
      </c>
      <c r="F114" s="1">
        <f t="shared" si="19"/>
        <v>0</v>
      </c>
      <c r="G114" s="18">
        <v>853</v>
      </c>
      <c r="H114" s="37" t="s">
        <v>235</v>
      </c>
      <c r="I114" s="3">
        <f t="shared" si="17"/>
        <v>0.11503267973856209</v>
      </c>
      <c r="J114" s="1">
        <f t="shared" si="18"/>
        <v>0</v>
      </c>
      <c r="K114" s="37" t="s">
        <v>235</v>
      </c>
      <c r="L114" s="37" t="s">
        <v>235</v>
      </c>
      <c r="M114" s="3" t="e">
        <f t="shared" si="20"/>
        <v>#VALUE!</v>
      </c>
      <c r="N114" s="1">
        <f t="shared" si="21"/>
        <v>0</v>
      </c>
      <c r="O114" s="18">
        <f>'execs Table 7'!C104</f>
        <v>772</v>
      </c>
      <c r="P114" s="18">
        <f>'execs Table 7'!D104</f>
        <v>6.4460000991821289</v>
      </c>
      <c r="Q114" s="3">
        <f t="shared" si="22"/>
        <v>9.1503267973856214E-3</v>
      </c>
      <c r="R114" s="1">
        <f t="shared" si="23"/>
        <v>0</v>
      </c>
      <c r="S114" s="18">
        <f>MIN('execs Table 7'!C104,'execs Table 7'!E104,'execs Table 7'!G104,'execs Table 7'!I104,'execs Table 7'!K104,'execs Table 7'!M104,'execs Table 7'!O104,'execs Table 7'!Q104,'execs Table 7'!S104,'execs Table 7'!U104)</f>
        <v>765</v>
      </c>
      <c r="T114" s="18">
        <f>SUM('execs Table 7'!D104,'execs Table 7'!F104,'execs Table 7'!H104,'execs Table 7'!J104,'execs Table 7'!L104,'execs Table 7'!N104,'execs Table 7'!P104,'execs Table 7'!R104,'execs Table 7'!T104,'execs Table 7'!V104)</f>
        <v>86.290000438690186</v>
      </c>
      <c r="U114" s="3">
        <f t="shared" si="24"/>
        <v>0</v>
      </c>
      <c r="V114" s="1">
        <f t="shared" si="25"/>
        <v>1</v>
      </c>
      <c r="W114" s="18">
        <f>MIN('execs Table 7'!G104,'execs Table 7'!I104,'execs Table 7'!K104,'execs Table 7'!M104,'execs Table 7'!O104,'execs Table 7'!Q104,'execs Table 7'!S104,'execs Table 7'!U104,'execs Table 7'!W104,'execs Table 7'!Y104,'execs Table 7'!C104,'execs Table 7'!E104,'execs Table 7'!AA104,'execs Table 7'!AC104,'execs Table 7'!AE104,'execs Table 7'!AG104,'execs Table 7'!AI104,'execs Table 7'!AK104,'execs Table 7'!AM104,'execs Table 7'!AO104)</f>
        <v>765</v>
      </c>
      <c r="X114" s="18">
        <f>SUM('execs Table 7'!H104,'execs Table 7'!J104,'execs Table 7'!L104,'execs Table 7'!N104,'execs Table 7'!P104,'execs Table 7'!R104,'execs Table 7'!T104,'execs Table 7'!V104,'execs Table 7'!X104,'execs Table 7'!Z104,'execs Table 7'!D104,'execs Table 7'!F104,'execs Table 7'!AB104,'execs Table 7'!AD104,'execs Table 7'!AF104,'execs Table 7'!AH104,'execs Table 7'!AJ104,'execs Table 7'!AL104,'execs Table 7'!AN104,'execs Table 7'!AP104)</f>
        <v>169.7130012512207</v>
      </c>
      <c r="Y114" s="3">
        <f t="shared" si="27"/>
        <v>0</v>
      </c>
      <c r="Z114" s="1">
        <f t="shared" si="28"/>
        <v>1</v>
      </c>
      <c r="AR114" s="2">
        <f t="shared" si="26"/>
        <v>765</v>
      </c>
    </row>
    <row r="115" spans="2:44" ht="16" x14ac:dyDescent="0.2">
      <c r="B115" s="18" t="s">
        <v>121</v>
      </c>
      <c r="C115" s="18">
        <v>71</v>
      </c>
      <c r="D115" s="37" t="s">
        <v>235</v>
      </c>
      <c r="E115" s="3">
        <f t="shared" si="29"/>
        <v>0.16393442622950818</v>
      </c>
      <c r="F115" s="1">
        <f t="shared" si="19"/>
        <v>0</v>
      </c>
      <c r="G115" s="18">
        <v>68</v>
      </c>
      <c r="H115" s="37" t="s">
        <v>235</v>
      </c>
      <c r="I115" s="3">
        <f t="shared" si="17"/>
        <v>0.11475409836065574</v>
      </c>
      <c r="J115" s="1">
        <f t="shared" si="18"/>
        <v>0</v>
      </c>
      <c r="K115" s="18">
        <v>68</v>
      </c>
      <c r="L115" s="37" t="s">
        <v>235</v>
      </c>
      <c r="M115" s="3">
        <f t="shared" si="20"/>
        <v>0.11475409836065574</v>
      </c>
      <c r="N115" s="1">
        <f t="shared" si="21"/>
        <v>0</v>
      </c>
      <c r="O115" s="18">
        <f>'execs Table 7'!C105</f>
        <v>63</v>
      </c>
      <c r="P115" s="18">
        <f>'execs Table 7'!D105</f>
        <v>5.6000001728534698E-2</v>
      </c>
      <c r="Q115" s="3">
        <f t="shared" si="22"/>
        <v>3.2786885245901641E-2</v>
      </c>
      <c r="R115" s="1">
        <f t="shared" si="23"/>
        <v>0</v>
      </c>
      <c r="S115" s="18">
        <f>MIN('execs Table 7'!C105,'execs Table 7'!E105,'execs Table 7'!G105,'execs Table 7'!I105,'execs Table 7'!K105,'execs Table 7'!M105,'execs Table 7'!O105,'execs Table 7'!Q105,'execs Table 7'!S105,'execs Table 7'!U105)</f>
        <v>61</v>
      </c>
      <c r="T115" s="18">
        <f>SUM('execs Table 7'!D105,'execs Table 7'!F105,'execs Table 7'!H105,'execs Table 7'!J105,'execs Table 7'!L105,'execs Table 7'!N105,'execs Table 7'!P105,'execs Table 7'!R105,'execs Table 7'!T105,'execs Table 7'!V105)</f>
        <v>0.47900000214576721</v>
      </c>
      <c r="U115" s="3">
        <f t="shared" si="24"/>
        <v>0</v>
      </c>
      <c r="V115" s="1">
        <f t="shared" si="25"/>
        <v>1</v>
      </c>
      <c r="W115" s="18">
        <f>MIN('execs Table 7'!G105,'execs Table 7'!I105,'execs Table 7'!K105,'execs Table 7'!M105,'execs Table 7'!O105,'execs Table 7'!Q105,'execs Table 7'!S105,'execs Table 7'!U105,'execs Table 7'!W105,'execs Table 7'!Y105,'execs Table 7'!C105,'execs Table 7'!E105,'execs Table 7'!AA105,'execs Table 7'!AC105,'execs Table 7'!AE105,'execs Table 7'!AG105,'execs Table 7'!AI105,'execs Table 7'!AK105,'execs Table 7'!AM105,'execs Table 7'!AO105)</f>
        <v>61</v>
      </c>
      <c r="X115" s="18">
        <f>SUM('execs Table 7'!H105,'execs Table 7'!J105,'execs Table 7'!L105,'execs Table 7'!N105,'execs Table 7'!P105,'execs Table 7'!R105,'execs Table 7'!T105,'execs Table 7'!V105,'execs Table 7'!X105,'execs Table 7'!Z105,'execs Table 7'!D105,'execs Table 7'!F105,'execs Table 7'!AB105,'execs Table 7'!AD105,'execs Table 7'!AF105,'execs Table 7'!AH105,'execs Table 7'!AJ105,'execs Table 7'!AL105,'execs Table 7'!AN105,'execs Table 7'!AP105)</f>
        <v>0.91100000217556953</v>
      </c>
      <c r="Y115" s="3">
        <f t="shared" si="27"/>
        <v>0</v>
      </c>
      <c r="Z115" s="1">
        <f t="shared" si="28"/>
        <v>1</v>
      </c>
      <c r="AR115" s="2">
        <f t="shared" si="26"/>
        <v>61</v>
      </c>
    </row>
    <row r="116" spans="2:44" ht="16" x14ac:dyDescent="0.2">
      <c r="B116" s="18" t="s">
        <v>122</v>
      </c>
      <c r="C116" s="18">
        <v>15</v>
      </c>
      <c r="D116" s="37" t="s">
        <v>235</v>
      </c>
      <c r="E116" s="3">
        <f t="shared" si="29"/>
        <v>0.36363636363636365</v>
      </c>
      <c r="F116" s="1">
        <f t="shared" si="19"/>
        <v>0</v>
      </c>
      <c r="G116" s="18">
        <v>12</v>
      </c>
      <c r="H116" s="37" t="s">
        <v>235</v>
      </c>
      <c r="I116" s="3">
        <f t="shared" si="17"/>
        <v>9.0909090909090912E-2</v>
      </c>
      <c r="J116" s="1">
        <f t="shared" si="18"/>
        <v>0</v>
      </c>
      <c r="K116" s="18">
        <v>12</v>
      </c>
      <c r="L116" s="37" t="s">
        <v>235</v>
      </c>
      <c r="M116" s="3">
        <f t="shared" si="20"/>
        <v>9.0909090909090912E-2</v>
      </c>
      <c r="N116" s="1">
        <f t="shared" si="21"/>
        <v>0</v>
      </c>
      <c r="O116" s="18">
        <f>'execs Table 7'!C106</f>
        <v>11</v>
      </c>
      <c r="P116" s="18">
        <f>'execs Table 7'!D106</f>
        <v>2.199999988079071E-2</v>
      </c>
      <c r="Q116" s="3">
        <f t="shared" si="22"/>
        <v>0</v>
      </c>
      <c r="R116" s="1">
        <f t="shared" si="23"/>
        <v>1</v>
      </c>
      <c r="S116" s="18">
        <f>MIN('execs Table 7'!C106,'execs Table 7'!E106,'execs Table 7'!G106,'execs Table 7'!I106,'execs Table 7'!K106,'execs Table 7'!M106,'execs Table 7'!O106,'execs Table 7'!Q106,'execs Table 7'!S106,'execs Table 7'!U106)</f>
        <v>11</v>
      </c>
      <c r="T116" s="18">
        <f>SUM('execs Table 7'!D106,'execs Table 7'!F106,'execs Table 7'!H106,'execs Table 7'!J106,'execs Table 7'!L106,'execs Table 7'!N106,'execs Table 7'!P106,'execs Table 7'!R106,'execs Table 7'!T106,'execs Table 7'!V106)</f>
        <v>0.26000000163912773</v>
      </c>
      <c r="U116" s="3">
        <f t="shared" si="24"/>
        <v>0</v>
      </c>
      <c r="V116" s="1">
        <f t="shared" si="25"/>
        <v>1</v>
      </c>
      <c r="W116" s="18">
        <f>MIN('execs Table 7'!G106,'execs Table 7'!I106,'execs Table 7'!K106,'execs Table 7'!M106,'execs Table 7'!O106,'execs Table 7'!Q106,'execs Table 7'!S106,'execs Table 7'!U106,'execs Table 7'!W106,'execs Table 7'!Y106,'execs Table 7'!C106,'execs Table 7'!E106,'execs Table 7'!AA106,'execs Table 7'!AC106,'execs Table 7'!AE106,'execs Table 7'!AG106,'execs Table 7'!AI106,'execs Table 7'!AK106,'execs Table 7'!AM106,'execs Table 7'!AO106)</f>
        <v>11</v>
      </c>
      <c r="X116" s="18">
        <f>SUM('execs Table 7'!H106,'execs Table 7'!J106,'execs Table 7'!L106,'execs Table 7'!N106,'execs Table 7'!P106,'execs Table 7'!R106,'execs Table 7'!T106,'execs Table 7'!V106,'execs Table 7'!X106,'execs Table 7'!Z106,'execs Table 7'!D106,'execs Table 7'!F106,'execs Table 7'!AB106,'execs Table 7'!AD106,'execs Table 7'!AF106,'execs Table 7'!AH106,'execs Table 7'!AJ106,'execs Table 7'!AL106,'execs Table 7'!AN106,'execs Table 7'!AP106)</f>
        <v>0.47499999962747097</v>
      </c>
      <c r="Y116" s="3">
        <f t="shared" si="27"/>
        <v>0</v>
      </c>
      <c r="Z116" s="1">
        <f t="shared" si="28"/>
        <v>1</v>
      </c>
      <c r="AR116" s="2">
        <f t="shared" si="26"/>
        <v>11</v>
      </c>
    </row>
    <row r="117" spans="2:44" ht="16" x14ac:dyDescent="0.2">
      <c r="B117" s="18" t="s">
        <v>123</v>
      </c>
      <c r="C117" s="18">
        <v>3</v>
      </c>
      <c r="D117" s="37" t="s">
        <v>235</v>
      </c>
      <c r="E117" s="3">
        <f t="shared" si="29"/>
        <v>0.5</v>
      </c>
      <c r="F117" s="1">
        <f t="shared" si="19"/>
        <v>0</v>
      </c>
      <c r="G117" s="18">
        <v>3</v>
      </c>
      <c r="H117" s="37" t="s">
        <v>235</v>
      </c>
      <c r="I117" s="3">
        <f t="shared" si="17"/>
        <v>0.5</v>
      </c>
      <c r="J117" s="1">
        <f t="shared" si="18"/>
        <v>0</v>
      </c>
      <c r="K117" s="18">
        <v>3</v>
      </c>
      <c r="L117" s="37" t="s">
        <v>235</v>
      </c>
      <c r="M117" s="3">
        <f t="shared" si="20"/>
        <v>0.5</v>
      </c>
      <c r="N117" s="1">
        <f t="shared" si="21"/>
        <v>0</v>
      </c>
      <c r="O117" s="18">
        <f>'execs Table 7'!C107</f>
        <v>2</v>
      </c>
      <c r="P117" s="18">
        <f>'execs Table 7'!D107</f>
        <v>6.0000000521540642E-3</v>
      </c>
      <c r="Q117" s="3">
        <f t="shared" si="22"/>
        <v>0</v>
      </c>
      <c r="R117" s="1">
        <f t="shared" si="23"/>
        <v>1</v>
      </c>
      <c r="S117" s="18">
        <f>MIN('execs Table 7'!C107,'execs Table 7'!E107,'execs Table 7'!G107,'execs Table 7'!I107,'execs Table 7'!K107,'execs Table 7'!M107,'execs Table 7'!O107,'execs Table 7'!Q107,'execs Table 7'!S107,'execs Table 7'!U107)</f>
        <v>2</v>
      </c>
      <c r="T117" s="18">
        <f>SUM('execs Table 7'!D107,'execs Table 7'!F107,'execs Table 7'!H107,'execs Table 7'!J107,'execs Table 7'!L107,'execs Table 7'!N107,'execs Table 7'!P107,'execs Table 7'!R107,'execs Table 7'!T107,'execs Table 7'!V107)</f>
        <v>6.3000001013278961E-2</v>
      </c>
      <c r="U117" s="3">
        <f t="shared" si="24"/>
        <v>0</v>
      </c>
      <c r="V117" s="1">
        <f t="shared" si="25"/>
        <v>1</v>
      </c>
      <c r="W117" s="18">
        <f>MIN('execs Table 7'!G107,'execs Table 7'!I107,'execs Table 7'!K107,'execs Table 7'!M107,'execs Table 7'!O107,'execs Table 7'!Q107,'execs Table 7'!S107,'execs Table 7'!U107,'execs Table 7'!W107,'execs Table 7'!Y107,'execs Table 7'!C107,'execs Table 7'!E107,'execs Table 7'!AA107,'execs Table 7'!AC107,'execs Table 7'!AE107,'execs Table 7'!AG107,'execs Table 7'!AI107,'execs Table 7'!AK107,'execs Table 7'!AM107,'execs Table 7'!AO107)</f>
        <v>2</v>
      </c>
      <c r="X117" s="18">
        <f>SUM('execs Table 7'!H107,'execs Table 7'!J107,'execs Table 7'!L107,'execs Table 7'!N107,'execs Table 7'!P107,'execs Table 7'!R107,'execs Table 7'!T107,'execs Table 7'!V107,'execs Table 7'!X107,'execs Table 7'!Z107,'execs Table 7'!D107,'execs Table 7'!F107,'execs Table 7'!AB107,'execs Table 7'!AD107,'execs Table 7'!AF107,'execs Table 7'!AH107,'execs Table 7'!AJ107,'execs Table 7'!AL107,'execs Table 7'!AN107,'execs Table 7'!AP107)</f>
        <v>0.1270000021904707</v>
      </c>
      <c r="Y117" s="3">
        <f t="shared" si="27"/>
        <v>0</v>
      </c>
      <c r="Z117" s="1">
        <f t="shared" si="28"/>
        <v>1</v>
      </c>
      <c r="AR117" s="2">
        <f t="shared" si="26"/>
        <v>2</v>
      </c>
    </row>
    <row r="118" spans="2:44" ht="16" x14ac:dyDescent="0.2">
      <c r="B118" s="18" t="s">
        <v>124</v>
      </c>
      <c r="C118" s="18">
        <v>202</v>
      </c>
      <c r="D118" s="37" t="s">
        <v>235</v>
      </c>
      <c r="E118" s="3">
        <f t="shared" si="29"/>
        <v>0.77192982456140347</v>
      </c>
      <c r="F118" s="1">
        <f t="shared" si="19"/>
        <v>0</v>
      </c>
      <c r="G118" s="18">
        <v>197</v>
      </c>
      <c r="H118" s="37" t="s">
        <v>235</v>
      </c>
      <c r="I118" s="3">
        <f t="shared" si="17"/>
        <v>0.72807017543859653</v>
      </c>
      <c r="J118" s="1">
        <f t="shared" si="18"/>
        <v>0</v>
      </c>
      <c r="K118" s="18">
        <v>189</v>
      </c>
      <c r="L118" s="37" t="s">
        <v>235</v>
      </c>
      <c r="M118" s="3">
        <f t="shared" si="20"/>
        <v>0.65789473684210531</v>
      </c>
      <c r="N118" s="1">
        <f t="shared" si="21"/>
        <v>0</v>
      </c>
      <c r="O118" s="18">
        <f>'execs Table 7'!C108</f>
        <v>116</v>
      </c>
      <c r="P118" s="18">
        <f>'execs Table 7'!D108</f>
        <v>0.38199999928474426</v>
      </c>
      <c r="Q118" s="3">
        <f t="shared" si="22"/>
        <v>1.7543859649122806E-2</v>
      </c>
      <c r="R118" s="1">
        <f t="shared" si="23"/>
        <v>0</v>
      </c>
      <c r="S118" s="18">
        <f>MIN('execs Table 7'!C108,'execs Table 7'!E108,'execs Table 7'!G108,'execs Table 7'!I108,'execs Table 7'!K108,'execs Table 7'!M108,'execs Table 7'!O108,'execs Table 7'!Q108,'execs Table 7'!S108,'execs Table 7'!U108)</f>
        <v>114</v>
      </c>
      <c r="T118" s="18">
        <f>SUM('execs Table 7'!D108,'execs Table 7'!F108,'execs Table 7'!H108,'execs Table 7'!J108,'execs Table 7'!L108,'execs Table 7'!N108,'execs Table 7'!P108,'execs Table 7'!R108,'execs Table 7'!T108,'execs Table 7'!V108)</f>
        <v>2.9850000143051147</v>
      </c>
      <c r="U118" s="3">
        <f t="shared" si="24"/>
        <v>0</v>
      </c>
      <c r="V118" s="1">
        <f t="shared" si="25"/>
        <v>1</v>
      </c>
      <c r="W118" s="18">
        <f>MIN('execs Table 7'!G108,'execs Table 7'!I108,'execs Table 7'!K108,'execs Table 7'!M108,'execs Table 7'!O108,'execs Table 7'!Q108,'execs Table 7'!S108,'execs Table 7'!U108,'execs Table 7'!W108,'execs Table 7'!Y108,'execs Table 7'!C108,'execs Table 7'!E108,'execs Table 7'!AA108,'execs Table 7'!AC108,'execs Table 7'!AE108,'execs Table 7'!AG108,'execs Table 7'!AI108,'execs Table 7'!AK108,'execs Table 7'!AM108,'execs Table 7'!AO108)</f>
        <v>114</v>
      </c>
      <c r="X118" s="18">
        <f>SUM('execs Table 7'!H108,'execs Table 7'!J108,'execs Table 7'!L108,'execs Table 7'!N108,'execs Table 7'!P108,'execs Table 7'!R108,'execs Table 7'!T108,'execs Table 7'!V108,'execs Table 7'!X108,'execs Table 7'!Z108,'execs Table 7'!D108,'execs Table 7'!F108,'execs Table 7'!AB108,'execs Table 7'!AD108,'execs Table 7'!AF108,'execs Table 7'!AH108,'execs Table 7'!AJ108,'execs Table 7'!AL108,'execs Table 7'!AN108,'execs Table 7'!AP108)</f>
        <v>5.6809999942779541</v>
      </c>
      <c r="Y118" s="3">
        <f t="shared" si="27"/>
        <v>0</v>
      </c>
      <c r="Z118" s="1">
        <f t="shared" si="28"/>
        <v>1</v>
      </c>
      <c r="AR118" s="2">
        <f t="shared" si="26"/>
        <v>114</v>
      </c>
    </row>
    <row r="119" spans="2:44" ht="16" x14ac:dyDescent="0.2">
      <c r="B119" s="18" t="s">
        <v>138</v>
      </c>
      <c r="C119" s="37" t="s">
        <v>235</v>
      </c>
      <c r="D119" s="37" t="s">
        <v>235</v>
      </c>
      <c r="E119" s="3" t="e">
        <f t="shared" si="29"/>
        <v>#VALUE!</v>
      </c>
      <c r="F119" s="1">
        <f t="shared" si="19"/>
        <v>0</v>
      </c>
      <c r="G119" s="37" t="s">
        <v>235</v>
      </c>
      <c r="H119" s="37" t="s">
        <v>235</v>
      </c>
      <c r="I119" s="3" t="e">
        <f t="shared" si="17"/>
        <v>#VALUE!</v>
      </c>
      <c r="J119" s="1">
        <f t="shared" si="18"/>
        <v>0</v>
      </c>
      <c r="K119" s="37" t="s">
        <v>235</v>
      </c>
      <c r="L119" s="37" t="s">
        <v>235</v>
      </c>
      <c r="M119" s="3" t="e">
        <f t="shared" si="20"/>
        <v>#VALUE!</v>
      </c>
      <c r="N119" s="1">
        <f t="shared" si="21"/>
        <v>0</v>
      </c>
      <c r="O119" s="18">
        <f>'execs Table 7'!C109</f>
        <v>1104</v>
      </c>
      <c r="P119" s="18">
        <f>'execs Table 7'!D109</f>
        <v>3.3389999866485596</v>
      </c>
      <c r="Q119" s="3">
        <f t="shared" si="22"/>
        <v>1.2844036697247707E-2</v>
      </c>
      <c r="R119" s="1">
        <f t="shared" si="23"/>
        <v>0</v>
      </c>
      <c r="S119" s="18">
        <f>MIN('execs Table 7'!C109,'execs Table 7'!E109,'execs Table 7'!G109,'execs Table 7'!I109,'execs Table 7'!K109,'execs Table 7'!M109,'execs Table 7'!O109,'execs Table 7'!Q109,'execs Table 7'!S109,'execs Table 7'!U109)</f>
        <v>1090</v>
      </c>
      <c r="T119" s="18">
        <f>SUM('execs Table 7'!D109,'execs Table 7'!F109,'execs Table 7'!H109,'execs Table 7'!J109,'execs Table 7'!L109,'execs Table 7'!N109,'execs Table 7'!P109,'execs Table 7'!R109,'execs Table 7'!T109,'execs Table 7'!V109)</f>
        <v>45.626999616622925</v>
      </c>
      <c r="U119" s="3">
        <f t="shared" si="24"/>
        <v>0</v>
      </c>
      <c r="V119" s="1">
        <f t="shared" si="25"/>
        <v>1</v>
      </c>
      <c r="W119" s="18">
        <f>MIN('execs Table 7'!G109,'execs Table 7'!I109,'execs Table 7'!K109,'execs Table 7'!M109,'execs Table 7'!O109,'execs Table 7'!Q109,'execs Table 7'!S109,'execs Table 7'!U109,'execs Table 7'!W109,'execs Table 7'!Y109,'execs Table 7'!C109,'execs Table 7'!E109,'execs Table 7'!AA109,'execs Table 7'!AC109,'execs Table 7'!AE109,'execs Table 7'!AG109,'execs Table 7'!AI109,'execs Table 7'!AK109,'execs Table 7'!AM109,'execs Table 7'!AO109)</f>
        <v>1090</v>
      </c>
      <c r="X119" s="18">
        <f>SUM('execs Table 7'!H109,'execs Table 7'!J109,'execs Table 7'!L109,'execs Table 7'!N109,'execs Table 7'!P109,'execs Table 7'!R109,'execs Table 7'!T109,'execs Table 7'!V109,'execs Table 7'!X109,'execs Table 7'!Z109,'execs Table 7'!D109,'execs Table 7'!F109,'execs Table 7'!AB109,'execs Table 7'!AD109,'execs Table 7'!AF109,'execs Table 7'!AH109,'execs Table 7'!AJ109,'execs Table 7'!AL109,'execs Table 7'!AN109,'execs Table 7'!AP109)</f>
        <v>85.777999639511108</v>
      </c>
      <c r="Y119" s="3">
        <f t="shared" si="27"/>
        <v>0</v>
      </c>
      <c r="Z119" s="1">
        <f t="shared" si="28"/>
        <v>1</v>
      </c>
      <c r="AB119" s="28"/>
      <c r="AC119" s="28"/>
      <c r="AD119" s="28"/>
      <c r="AR119" s="2">
        <f t="shared" si="26"/>
        <v>1090</v>
      </c>
    </row>
    <row r="120" spans="2:44" ht="16" x14ac:dyDescent="0.2">
      <c r="B120" s="18" t="s">
        <v>127</v>
      </c>
      <c r="C120" s="18">
        <v>317</v>
      </c>
      <c r="D120" s="37" t="s">
        <v>235</v>
      </c>
      <c r="E120" s="3">
        <f t="shared" si="29"/>
        <v>0.18283582089552239</v>
      </c>
      <c r="F120" s="1">
        <f t="shared" si="19"/>
        <v>0</v>
      </c>
      <c r="G120" s="18">
        <v>315</v>
      </c>
      <c r="H120" s="37" t="s">
        <v>235</v>
      </c>
      <c r="I120" s="3">
        <f t="shared" si="17"/>
        <v>0.17537313432835822</v>
      </c>
      <c r="J120" s="1">
        <f t="shared" si="18"/>
        <v>0</v>
      </c>
      <c r="K120" s="18">
        <v>310</v>
      </c>
      <c r="L120" s="37" t="s">
        <v>235</v>
      </c>
      <c r="M120" s="3">
        <f t="shared" si="20"/>
        <v>0.15671641791044777</v>
      </c>
      <c r="N120" s="1">
        <f t="shared" si="21"/>
        <v>0</v>
      </c>
      <c r="O120" s="18">
        <f>'execs Table 7'!C110</f>
        <v>268</v>
      </c>
      <c r="P120" s="18">
        <f>'execs Table 7'!D110</f>
        <v>8.2229995727539062</v>
      </c>
      <c r="Q120" s="3">
        <f t="shared" si="22"/>
        <v>0</v>
      </c>
      <c r="R120" s="1">
        <f t="shared" si="23"/>
        <v>1</v>
      </c>
      <c r="S120" s="18">
        <f>MIN('execs Table 7'!C110,'execs Table 7'!E110,'execs Table 7'!G110,'execs Table 7'!I110,'execs Table 7'!K110,'execs Table 7'!M110,'execs Table 7'!O110,'execs Table 7'!Q110,'execs Table 7'!S110,'execs Table 7'!U110)</f>
        <v>268</v>
      </c>
      <c r="T120" s="18">
        <f>SUM('execs Table 7'!D110,'execs Table 7'!F110,'execs Table 7'!H110,'execs Table 7'!J110,'execs Table 7'!L110,'execs Table 7'!N110,'execs Table 7'!P110,'execs Table 7'!R110,'execs Table 7'!T110,'execs Table 7'!V110)</f>
        <v>78.125</v>
      </c>
      <c r="U120" s="3">
        <f t="shared" si="24"/>
        <v>0</v>
      </c>
      <c r="V120" s="1">
        <f t="shared" si="25"/>
        <v>1</v>
      </c>
      <c r="W120" s="18">
        <f>MIN('execs Table 7'!G110,'execs Table 7'!I110,'execs Table 7'!K110,'execs Table 7'!M110,'execs Table 7'!O110,'execs Table 7'!Q110,'execs Table 7'!S110,'execs Table 7'!U110,'execs Table 7'!W110,'execs Table 7'!Y110,'execs Table 7'!C110,'execs Table 7'!E110,'execs Table 7'!AA110,'execs Table 7'!AC110,'execs Table 7'!AE110,'execs Table 7'!AG110,'execs Table 7'!AI110,'execs Table 7'!AK110,'execs Table 7'!AM110,'execs Table 7'!AO110)</f>
        <v>268</v>
      </c>
      <c r="X120" s="18">
        <f>SUM('execs Table 7'!H110,'execs Table 7'!J110,'execs Table 7'!L110,'execs Table 7'!N110,'execs Table 7'!P110,'execs Table 7'!R110,'execs Table 7'!T110,'execs Table 7'!V110,'execs Table 7'!X110,'execs Table 7'!Z110,'execs Table 7'!D110,'execs Table 7'!F110,'execs Table 7'!AB110,'execs Table 7'!AD110,'execs Table 7'!AF110,'execs Table 7'!AH110,'execs Table 7'!AJ110,'execs Table 7'!AL110,'execs Table 7'!AN110,'execs Table 7'!AP110)</f>
        <v>155.61499977111816</v>
      </c>
      <c r="Y120" s="3">
        <f t="shared" si="27"/>
        <v>0</v>
      </c>
      <c r="Z120" s="1">
        <f t="shared" si="28"/>
        <v>1</v>
      </c>
      <c r="AR120" s="2">
        <f t="shared" si="26"/>
        <v>268</v>
      </c>
    </row>
    <row r="121" spans="2:44" ht="16" x14ac:dyDescent="0.2">
      <c r="B121" s="18" t="s">
        <v>125</v>
      </c>
      <c r="C121" s="18">
        <v>305</v>
      </c>
      <c r="D121" s="37" t="s">
        <v>235</v>
      </c>
      <c r="E121" s="3">
        <f t="shared" si="29"/>
        <v>0.2151394422310757</v>
      </c>
      <c r="F121" s="1">
        <f t="shared" si="19"/>
        <v>0</v>
      </c>
      <c r="G121" s="18">
        <v>306</v>
      </c>
      <c r="H121" s="37" t="s">
        <v>235</v>
      </c>
      <c r="I121" s="3">
        <f t="shared" si="17"/>
        <v>0.21912350597609562</v>
      </c>
      <c r="J121" s="1">
        <f t="shared" si="18"/>
        <v>0</v>
      </c>
      <c r="K121" s="18">
        <v>308</v>
      </c>
      <c r="L121" s="37" t="s">
        <v>235</v>
      </c>
      <c r="M121" s="3">
        <f t="shared" si="20"/>
        <v>0.22709163346613545</v>
      </c>
      <c r="N121" s="1">
        <f t="shared" si="21"/>
        <v>0</v>
      </c>
      <c r="O121" s="18">
        <f>'execs Table 7'!C111</f>
        <v>253</v>
      </c>
      <c r="P121" s="18">
        <f>'execs Table 7'!D111</f>
        <v>7.6050000190734863</v>
      </c>
      <c r="Q121" s="3">
        <f t="shared" si="22"/>
        <v>7.9681274900398405E-3</v>
      </c>
      <c r="R121" s="1">
        <f t="shared" si="23"/>
        <v>0</v>
      </c>
      <c r="S121" s="18">
        <f>MIN('execs Table 7'!C111,'execs Table 7'!E111,'execs Table 7'!G111,'execs Table 7'!I111,'execs Table 7'!K111,'execs Table 7'!M111,'execs Table 7'!O111,'execs Table 7'!Q111,'execs Table 7'!S111,'execs Table 7'!U111)</f>
        <v>251</v>
      </c>
      <c r="T121" s="18">
        <f>SUM('execs Table 7'!D111,'execs Table 7'!F111,'execs Table 7'!H111,'execs Table 7'!J111,'execs Table 7'!L111,'execs Table 7'!N111,'execs Table 7'!P111,'execs Table 7'!R111,'execs Table 7'!T111,'execs Table 7'!V111)</f>
        <v>89.195000171661377</v>
      </c>
      <c r="U121" s="3">
        <f t="shared" si="24"/>
        <v>0</v>
      </c>
      <c r="V121" s="1">
        <f t="shared" si="25"/>
        <v>1</v>
      </c>
      <c r="W121" s="18">
        <f>MIN('execs Table 7'!G111,'execs Table 7'!I111,'execs Table 7'!K111,'execs Table 7'!M111,'execs Table 7'!O111,'execs Table 7'!Q111,'execs Table 7'!S111,'execs Table 7'!U111,'execs Table 7'!W111,'execs Table 7'!Y111,'execs Table 7'!C111,'execs Table 7'!E111,'execs Table 7'!AA111,'execs Table 7'!AC111,'execs Table 7'!AE111,'execs Table 7'!AG111,'execs Table 7'!AI111,'execs Table 7'!AK111,'execs Table 7'!AM111,'execs Table 7'!AO111)</f>
        <v>251</v>
      </c>
      <c r="X121" s="18">
        <f>SUM('execs Table 7'!H111,'execs Table 7'!J111,'execs Table 7'!L111,'execs Table 7'!N111,'execs Table 7'!P111,'execs Table 7'!R111,'execs Table 7'!T111,'execs Table 7'!V111,'execs Table 7'!X111,'execs Table 7'!Z111,'execs Table 7'!D111,'execs Table 7'!F111,'execs Table 7'!AB111,'execs Table 7'!AD111,'execs Table 7'!AF111,'execs Table 7'!AH111,'execs Table 7'!AJ111,'execs Table 7'!AL111,'execs Table 7'!AN111,'execs Table 7'!AP111)</f>
        <v>168.81700086593628</v>
      </c>
      <c r="Y121" s="3">
        <f t="shared" si="27"/>
        <v>0</v>
      </c>
      <c r="Z121" s="1">
        <f t="shared" si="28"/>
        <v>1</v>
      </c>
      <c r="AR121" s="2">
        <f t="shared" si="26"/>
        <v>251</v>
      </c>
    </row>
    <row r="122" spans="2:44" ht="16" x14ac:dyDescent="0.2">
      <c r="B122" s="18" t="s">
        <v>126</v>
      </c>
      <c r="C122" s="18">
        <v>331</v>
      </c>
      <c r="D122" s="37" t="s">
        <v>235</v>
      </c>
      <c r="E122" s="3">
        <f t="shared" si="29"/>
        <v>0.26335877862595419</v>
      </c>
      <c r="F122" s="1">
        <f t="shared" si="19"/>
        <v>0</v>
      </c>
      <c r="G122" s="18">
        <v>319</v>
      </c>
      <c r="H122" s="37" t="s">
        <v>235</v>
      </c>
      <c r="I122" s="3">
        <f t="shared" si="17"/>
        <v>0.21755725190839695</v>
      </c>
      <c r="J122" s="1">
        <f t="shared" si="18"/>
        <v>0</v>
      </c>
      <c r="K122" s="18">
        <v>319</v>
      </c>
      <c r="L122" s="37" t="s">
        <v>235</v>
      </c>
      <c r="M122" s="3">
        <f t="shared" si="20"/>
        <v>0.21755725190839695</v>
      </c>
      <c r="N122" s="1">
        <f t="shared" si="21"/>
        <v>0</v>
      </c>
      <c r="O122" s="18">
        <f>'execs Table 7'!C112</f>
        <v>262</v>
      </c>
      <c r="P122" s="18">
        <f>'execs Table 7'!D112</f>
        <v>6.2849998474121094</v>
      </c>
      <c r="Q122" s="3">
        <f t="shared" si="22"/>
        <v>0</v>
      </c>
      <c r="R122" s="1">
        <f t="shared" si="23"/>
        <v>1</v>
      </c>
      <c r="S122" s="18">
        <f>MIN('execs Table 7'!C112,'execs Table 7'!E112,'execs Table 7'!G112,'execs Table 7'!I112,'execs Table 7'!K112,'execs Table 7'!M112,'execs Table 7'!O112,'execs Table 7'!Q112,'execs Table 7'!S112,'execs Table 7'!U112)</f>
        <v>262</v>
      </c>
      <c r="T122" s="18">
        <f>SUM('execs Table 7'!D112,'execs Table 7'!F112,'execs Table 7'!H112,'execs Table 7'!J112,'execs Table 7'!L112,'execs Table 7'!N112,'execs Table 7'!P112,'execs Table 7'!R112,'execs Table 7'!T112,'execs Table 7'!V112)</f>
        <v>70.515999794006348</v>
      </c>
      <c r="U122" s="3">
        <f t="shared" si="24"/>
        <v>0</v>
      </c>
      <c r="V122" s="1">
        <f t="shared" si="25"/>
        <v>1</v>
      </c>
      <c r="W122" s="18">
        <f>MIN('execs Table 7'!G112,'execs Table 7'!I112,'execs Table 7'!K112,'execs Table 7'!M112,'execs Table 7'!O112,'execs Table 7'!Q112,'execs Table 7'!S112,'execs Table 7'!U112,'execs Table 7'!W112,'execs Table 7'!Y112,'execs Table 7'!C112,'execs Table 7'!E112,'execs Table 7'!AA112,'execs Table 7'!AC112,'execs Table 7'!AE112,'execs Table 7'!AG112,'execs Table 7'!AI112,'execs Table 7'!AK112,'execs Table 7'!AM112,'execs Table 7'!AO112)</f>
        <v>262</v>
      </c>
      <c r="X122" s="18">
        <f>SUM('execs Table 7'!H112,'execs Table 7'!J112,'execs Table 7'!L112,'execs Table 7'!N112,'execs Table 7'!P112,'execs Table 7'!R112,'execs Table 7'!T112,'execs Table 7'!V112,'execs Table 7'!X112,'execs Table 7'!Z112,'execs Table 7'!D112,'execs Table 7'!F112,'execs Table 7'!AB112,'execs Table 7'!AD112,'execs Table 7'!AF112,'execs Table 7'!AH112,'execs Table 7'!AJ112,'execs Table 7'!AL112,'execs Table 7'!AN112,'execs Table 7'!AP112)</f>
        <v>152.7379994392395</v>
      </c>
      <c r="Y122" s="3">
        <f t="shared" si="27"/>
        <v>0</v>
      </c>
      <c r="Z122" s="1">
        <f t="shared" si="28"/>
        <v>1</v>
      </c>
      <c r="AR122" s="2">
        <f t="shared" si="26"/>
        <v>262</v>
      </c>
    </row>
    <row r="123" spans="2:44" ht="16" x14ac:dyDescent="0.2">
      <c r="B123" s="18" t="s">
        <v>139</v>
      </c>
      <c r="C123" s="37" t="s">
        <v>235</v>
      </c>
      <c r="D123" s="37" t="s">
        <v>235</v>
      </c>
      <c r="E123" s="3" t="e">
        <f t="shared" si="29"/>
        <v>#VALUE!</v>
      </c>
      <c r="F123" s="1">
        <f t="shared" si="19"/>
        <v>0</v>
      </c>
      <c r="G123" s="37" t="s">
        <v>235</v>
      </c>
      <c r="H123" s="37" t="s">
        <v>235</v>
      </c>
      <c r="I123" s="3" t="e">
        <f t="shared" si="17"/>
        <v>#VALUE!</v>
      </c>
      <c r="J123" s="1">
        <f t="shared" si="18"/>
        <v>0</v>
      </c>
      <c r="K123" s="37" t="s">
        <v>235</v>
      </c>
      <c r="L123" s="37" t="s">
        <v>235</v>
      </c>
      <c r="M123" s="3" t="e">
        <f t="shared" si="20"/>
        <v>#VALUE!</v>
      </c>
      <c r="N123" s="1">
        <f t="shared" si="21"/>
        <v>0</v>
      </c>
      <c r="O123" s="18">
        <f>'execs Table 7'!C113</f>
        <v>2592</v>
      </c>
      <c r="P123" s="18">
        <f>'execs Table 7'!D113</f>
        <v>325.86300659179688</v>
      </c>
      <c r="Q123" s="3">
        <f t="shared" si="22"/>
        <v>3.8729666924864447E-3</v>
      </c>
      <c r="R123" s="1">
        <f t="shared" si="23"/>
        <v>0</v>
      </c>
      <c r="S123" s="18">
        <f>MIN('execs Table 7'!C113,'execs Table 7'!E113,'execs Table 7'!G113,'execs Table 7'!I113,'execs Table 7'!K113,'execs Table 7'!M113,'execs Table 7'!O113,'execs Table 7'!Q113,'execs Table 7'!S113,'execs Table 7'!U113)</f>
        <v>2586</v>
      </c>
      <c r="T123" s="18">
        <f>SUM('execs Table 7'!D113,'execs Table 7'!F113,'execs Table 7'!H113,'execs Table 7'!J113,'execs Table 7'!L113,'execs Table 7'!N113,'execs Table 7'!P113,'execs Table 7'!R113,'execs Table 7'!T113,'execs Table 7'!V113)</f>
        <v>2762.9549560546875</v>
      </c>
      <c r="U123" s="3">
        <f t="shared" si="24"/>
        <v>1.5491866769945779E-3</v>
      </c>
      <c r="V123" s="1">
        <f t="shared" si="25"/>
        <v>0</v>
      </c>
      <c r="W123" s="18">
        <f>MIN('execs Table 7'!G113,'execs Table 7'!I113,'execs Table 7'!K113,'execs Table 7'!M113,'execs Table 7'!O113,'execs Table 7'!Q113,'execs Table 7'!S113,'execs Table 7'!U113,'execs Table 7'!W113,'execs Table 7'!Y113,'execs Table 7'!C113,'execs Table 7'!E113,'execs Table 7'!AA113,'execs Table 7'!AC113,'execs Table 7'!AE113,'execs Table 7'!AG113,'execs Table 7'!AI113,'execs Table 7'!AK113,'execs Table 7'!AM113,'execs Table 7'!AO113)</f>
        <v>2582</v>
      </c>
      <c r="X123" s="18">
        <f>SUM('execs Table 7'!H113,'execs Table 7'!J113,'execs Table 7'!L113,'execs Table 7'!N113,'execs Table 7'!P113,'execs Table 7'!R113,'execs Table 7'!T113,'execs Table 7'!V113,'execs Table 7'!X113,'execs Table 7'!Z113,'execs Table 7'!D113,'execs Table 7'!F113,'execs Table 7'!AB113,'execs Table 7'!AD113,'execs Table 7'!AF113,'execs Table 7'!AH113,'execs Table 7'!AJ113,'execs Table 7'!AL113,'execs Table 7'!AN113,'execs Table 7'!AP113)</f>
        <v>6315.9470062255859</v>
      </c>
      <c r="Y123" s="3">
        <f t="shared" si="27"/>
        <v>0</v>
      </c>
      <c r="Z123" s="1">
        <f t="shared" si="28"/>
        <v>1</v>
      </c>
      <c r="AB123" s="28"/>
      <c r="AC123" s="28"/>
      <c r="AD123" s="28"/>
      <c r="AR123" s="2">
        <f t="shared" si="26"/>
        <v>2582</v>
      </c>
    </row>
    <row r="124" spans="2:44" ht="16" x14ac:dyDescent="0.2">
      <c r="B124" s="18" t="s">
        <v>128</v>
      </c>
      <c r="C124" s="18">
        <v>60</v>
      </c>
      <c r="D124" s="37" t="s">
        <v>235</v>
      </c>
      <c r="E124" s="3">
        <f t="shared" si="29"/>
        <v>0.76470588235294112</v>
      </c>
      <c r="F124" s="1">
        <f t="shared" si="19"/>
        <v>0</v>
      </c>
      <c r="G124" s="18">
        <v>51</v>
      </c>
      <c r="H124" s="37" t="s">
        <v>235</v>
      </c>
      <c r="I124" s="3">
        <f t="shared" si="17"/>
        <v>0.5</v>
      </c>
      <c r="J124" s="1">
        <f t="shared" si="18"/>
        <v>0</v>
      </c>
      <c r="K124" s="18">
        <v>54</v>
      </c>
      <c r="L124" s="37" t="s">
        <v>235</v>
      </c>
      <c r="M124" s="3">
        <f t="shared" si="20"/>
        <v>0.58823529411764708</v>
      </c>
      <c r="N124" s="1">
        <f t="shared" si="21"/>
        <v>0</v>
      </c>
      <c r="O124" s="18">
        <f>'execs Table 7'!C114</f>
        <v>34</v>
      </c>
      <c r="P124" s="18">
        <f>'execs Table 7'!D114</f>
        <v>20.11400032043457</v>
      </c>
      <c r="Q124" s="3">
        <f t="shared" si="22"/>
        <v>0</v>
      </c>
      <c r="R124" s="1">
        <f t="shared" si="23"/>
        <v>1</v>
      </c>
      <c r="S124" s="18">
        <f>MIN('execs Table 7'!C114,'execs Table 7'!E114,'execs Table 7'!G114,'execs Table 7'!I114,'execs Table 7'!K114,'execs Table 7'!M114,'execs Table 7'!O114,'execs Table 7'!Q114,'execs Table 7'!S114,'execs Table 7'!U114)</f>
        <v>34</v>
      </c>
      <c r="T124" s="18">
        <f>SUM('execs Table 7'!D114,'execs Table 7'!F114,'execs Table 7'!H114,'execs Table 7'!J114,'execs Table 7'!L114,'execs Table 7'!N114,'execs Table 7'!P114,'execs Table 7'!R114,'execs Table 7'!T114,'execs Table 7'!V114)</f>
        <v>88.751000881195068</v>
      </c>
      <c r="U124" s="3">
        <f t="shared" si="24"/>
        <v>0</v>
      </c>
      <c r="V124" s="1">
        <f t="shared" si="25"/>
        <v>1</v>
      </c>
      <c r="W124" s="18">
        <f>MIN('execs Table 7'!G114,'execs Table 7'!I114,'execs Table 7'!K114,'execs Table 7'!M114,'execs Table 7'!O114,'execs Table 7'!Q114,'execs Table 7'!S114,'execs Table 7'!U114,'execs Table 7'!W114,'execs Table 7'!Y114,'execs Table 7'!C114,'execs Table 7'!E114,'execs Table 7'!AA114,'execs Table 7'!AC114,'execs Table 7'!AE114,'execs Table 7'!AG114,'execs Table 7'!AI114,'execs Table 7'!AK114,'execs Table 7'!AM114,'execs Table 7'!AO114)</f>
        <v>34</v>
      </c>
      <c r="X124" s="18">
        <f>SUM('execs Table 7'!H114,'execs Table 7'!J114,'execs Table 7'!L114,'execs Table 7'!N114,'execs Table 7'!P114,'execs Table 7'!R114,'execs Table 7'!T114,'execs Table 7'!V114,'execs Table 7'!X114,'execs Table 7'!Z114,'execs Table 7'!D114,'execs Table 7'!F114,'execs Table 7'!AB114,'execs Table 7'!AD114,'execs Table 7'!AF114,'execs Table 7'!AH114,'execs Table 7'!AJ114,'execs Table 7'!AL114,'execs Table 7'!AN114,'execs Table 7'!AP114)</f>
        <v>204.06100034713745</v>
      </c>
      <c r="Y124" s="3">
        <f t="shared" si="27"/>
        <v>0</v>
      </c>
      <c r="Z124" s="1">
        <f t="shared" si="28"/>
        <v>1</v>
      </c>
      <c r="AR124" s="2">
        <f t="shared" si="26"/>
        <v>34</v>
      </c>
    </row>
    <row r="125" spans="2:44" ht="16" x14ac:dyDescent="0.2">
      <c r="B125" s="18" t="s">
        <v>129</v>
      </c>
      <c r="C125" s="18">
        <v>168</v>
      </c>
      <c r="D125" s="37" t="s">
        <v>235</v>
      </c>
      <c r="E125" s="3">
        <f t="shared" si="29"/>
        <v>0.21739130434782608</v>
      </c>
      <c r="F125" s="1">
        <f t="shared" si="19"/>
        <v>0</v>
      </c>
      <c r="G125" s="18">
        <v>159</v>
      </c>
      <c r="H125" s="37" t="s">
        <v>235</v>
      </c>
      <c r="I125" s="3">
        <f t="shared" si="17"/>
        <v>0.15217391304347827</v>
      </c>
      <c r="J125" s="1">
        <f t="shared" si="18"/>
        <v>0</v>
      </c>
      <c r="K125" s="18">
        <v>162</v>
      </c>
      <c r="L125" s="37" t="s">
        <v>235</v>
      </c>
      <c r="M125" s="3">
        <f t="shared" si="20"/>
        <v>0.17391304347826086</v>
      </c>
      <c r="N125" s="1">
        <f t="shared" si="21"/>
        <v>0</v>
      </c>
      <c r="O125" s="18">
        <f>'execs Table 7'!C115</f>
        <v>138</v>
      </c>
      <c r="P125" s="18">
        <f>'execs Table 7'!D115</f>
        <v>9.4350004196166992</v>
      </c>
      <c r="Q125" s="3">
        <f t="shared" si="22"/>
        <v>0</v>
      </c>
      <c r="R125" s="1">
        <f t="shared" si="23"/>
        <v>1</v>
      </c>
      <c r="S125" s="18">
        <f>MIN('execs Table 7'!C115,'execs Table 7'!E115,'execs Table 7'!G115,'execs Table 7'!I115,'execs Table 7'!K115,'execs Table 7'!M115,'execs Table 7'!O115,'execs Table 7'!Q115,'execs Table 7'!S115,'execs Table 7'!U115)</f>
        <v>138</v>
      </c>
      <c r="T125" s="18">
        <f>SUM('execs Table 7'!D115,'execs Table 7'!F115,'execs Table 7'!H115,'execs Table 7'!J115,'execs Table 7'!L115,'execs Table 7'!N115,'execs Table 7'!P115,'execs Table 7'!R115,'execs Table 7'!T115,'execs Table 7'!V115)</f>
        <v>114.60000133514404</v>
      </c>
      <c r="U125" s="3">
        <f t="shared" si="24"/>
        <v>0</v>
      </c>
      <c r="V125" s="1">
        <f t="shared" si="25"/>
        <v>1</v>
      </c>
      <c r="W125" s="18">
        <f>MIN('execs Table 7'!G115,'execs Table 7'!I115,'execs Table 7'!K115,'execs Table 7'!M115,'execs Table 7'!O115,'execs Table 7'!Q115,'execs Table 7'!S115,'execs Table 7'!U115,'execs Table 7'!W115,'execs Table 7'!Y115,'execs Table 7'!C115,'execs Table 7'!E115,'execs Table 7'!AA115,'execs Table 7'!AC115,'execs Table 7'!AE115,'execs Table 7'!AG115,'execs Table 7'!AI115,'execs Table 7'!AK115,'execs Table 7'!AM115,'execs Table 7'!AO115)</f>
        <v>138</v>
      </c>
      <c r="X125" s="18">
        <f>SUM('execs Table 7'!H115,'execs Table 7'!J115,'execs Table 7'!L115,'execs Table 7'!N115,'execs Table 7'!P115,'execs Table 7'!R115,'execs Table 7'!T115,'execs Table 7'!V115,'execs Table 7'!X115,'execs Table 7'!Z115,'execs Table 7'!D115,'execs Table 7'!F115,'execs Table 7'!AB115,'execs Table 7'!AD115,'execs Table 7'!AF115,'execs Table 7'!AH115,'execs Table 7'!AJ115,'execs Table 7'!AL115,'execs Table 7'!AN115,'execs Table 7'!AP115)</f>
        <v>249.91200065612793</v>
      </c>
      <c r="Y125" s="3">
        <f t="shared" si="27"/>
        <v>0</v>
      </c>
      <c r="Z125" s="1">
        <f t="shared" si="28"/>
        <v>1</v>
      </c>
      <c r="AR125" s="2">
        <f t="shared" si="26"/>
        <v>138</v>
      </c>
    </row>
    <row r="126" spans="2:44" ht="16" x14ac:dyDescent="0.2">
      <c r="B126" s="18" t="s">
        <v>130</v>
      </c>
      <c r="C126" s="18">
        <v>106</v>
      </c>
      <c r="D126" s="37" t="s">
        <v>235</v>
      </c>
      <c r="E126" s="3">
        <f t="shared" si="29"/>
        <v>0.17777777777777778</v>
      </c>
      <c r="F126" s="1">
        <f t="shared" si="19"/>
        <v>0</v>
      </c>
      <c r="G126" s="18">
        <v>101</v>
      </c>
      <c r="H126" s="37" t="s">
        <v>235</v>
      </c>
      <c r="I126" s="3">
        <f t="shared" si="17"/>
        <v>0.12222222222222222</v>
      </c>
      <c r="J126" s="1">
        <f t="shared" si="18"/>
        <v>0</v>
      </c>
      <c r="K126" s="18">
        <v>104</v>
      </c>
      <c r="L126" s="37" t="s">
        <v>235</v>
      </c>
      <c r="M126" s="3">
        <f t="shared" si="20"/>
        <v>0.15555555555555556</v>
      </c>
      <c r="N126" s="1">
        <f t="shared" si="21"/>
        <v>0</v>
      </c>
      <c r="O126" s="18">
        <f>'execs Table 7'!C116</f>
        <v>95</v>
      </c>
      <c r="P126" s="18">
        <f>'execs Table 7'!D116</f>
        <v>0.23999999463558197</v>
      </c>
      <c r="Q126" s="3">
        <f t="shared" si="22"/>
        <v>5.5555555555555552E-2</v>
      </c>
      <c r="R126" s="1">
        <f t="shared" si="23"/>
        <v>0</v>
      </c>
      <c r="S126" s="18">
        <f>MIN('execs Table 7'!C116,'execs Table 7'!E116,'execs Table 7'!G116,'execs Table 7'!I116,'execs Table 7'!K116,'execs Table 7'!M116,'execs Table 7'!O116,'execs Table 7'!Q116,'execs Table 7'!S116,'execs Table 7'!U116)</f>
        <v>93</v>
      </c>
      <c r="T126" s="18">
        <f>SUM('execs Table 7'!D116,'execs Table 7'!F116,'execs Table 7'!H116,'execs Table 7'!J116,'execs Table 7'!L116,'execs Table 7'!N116,'execs Table 7'!P116,'execs Table 7'!R116,'execs Table 7'!T116,'execs Table 7'!V116)</f>
        <v>2.6959999799728394</v>
      </c>
      <c r="U126" s="3">
        <f t="shared" si="24"/>
        <v>3.3333333333333333E-2</v>
      </c>
      <c r="V126" s="1">
        <f t="shared" si="25"/>
        <v>0</v>
      </c>
      <c r="W126" s="18">
        <f>MIN('execs Table 7'!G116,'execs Table 7'!I116,'execs Table 7'!K116,'execs Table 7'!M116,'execs Table 7'!O116,'execs Table 7'!Q116,'execs Table 7'!S116,'execs Table 7'!U116,'execs Table 7'!W116,'execs Table 7'!Y116,'execs Table 7'!C116,'execs Table 7'!E116,'execs Table 7'!AA116,'execs Table 7'!AC116,'execs Table 7'!AE116,'execs Table 7'!AG116,'execs Table 7'!AI116,'execs Table 7'!AK116,'execs Table 7'!AM116,'execs Table 7'!AO116)</f>
        <v>90</v>
      </c>
      <c r="X126" s="18">
        <f>SUM('execs Table 7'!H116,'execs Table 7'!J116,'execs Table 7'!L116,'execs Table 7'!N116,'execs Table 7'!P116,'execs Table 7'!R116,'execs Table 7'!T116,'execs Table 7'!V116,'execs Table 7'!X116,'execs Table 7'!Z116,'execs Table 7'!D116,'execs Table 7'!F116,'execs Table 7'!AB116,'execs Table 7'!AD116,'execs Table 7'!AF116,'execs Table 7'!AH116,'execs Table 7'!AJ116,'execs Table 7'!AL116,'execs Table 7'!AN116,'execs Table 7'!AP116)</f>
        <v>5.471000000834465</v>
      </c>
      <c r="Y126" s="3">
        <f t="shared" si="27"/>
        <v>0</v>
      </c>
      <c r="Z126" s="1">
        <f t="shared" si="28"/>
        <v>1</v>
      </c>
      <c r="AR126" s="2">
        <f t="shared" si="26"/>
        <v>90</v>
      </c>
    </row>
    <row r="127" spans="2:44" ht="16" x14ac:dyDescent="0.2">
      <c r="B127" s="18" t="s">
        <v>131</v>
      </c>
      <c r="C127" s="18">
        <v>27</v>
      </c>
      <c r="D127" s="37" t="s">
        <v>235</v>
      </c>
      <c r="E127" s="3">
        <f t="shared" si="29"/>
        <v>0.35</v>
      </c>
      <c r="F127" s="1">
        <f t="shared" si="19"/>
        <v>0</v>
      </c>
      <c r="G127" s="18">
        <v>26</v>
      </c>
      <c r="H127" s="37" t="s">
        <v>235</v>
      </c>
      <c r="I127" s="3">
        <f t="shared" si="17"/>
        <v>0.3</v>
      </c>
      <c r="J127" s="1">
        <f t="shared" si="18"/>
        <v>0</v>
      </c>
      <c r="K127" s="18">
        <v>26</v>
      </c>
      <c r="L127" s="37" t="s">
        <v>235</v>
      </c>
      <c r="M127" s="3">
        <f t="shared" si="20"/>
        <v>0.3</v>
      </c>
      <c r="N127" s="1">
        <f t="shared" si="21"/>
        <v>0</v>
      </c>
      <c r="O127" s="18">
        <f>'execs Table 7'!C117</f>
        <v>20</v>
      </c>
      <c r="P127" s="18">
        <f>'execs Table 7'!D117</f>
        <v>2.7000000700354576E-2</v>
      </c>
      <c r="Q127" s="3">
        <f t="shared" si="22"/>
        <v>0</v>
      </c>
      <c r="R127" s="1">
        <f t="shared" si="23"/>
        <v>1</v>
      </c>
      <c r="S127" s="18">
        <f>MIN('execs Table 7'!C117,'execs Table 7'!E117,'execs Table 7'!G117,'execs Table 7'!I117,'execs Table 7'!K117,'execs Table 7'!M117,'execs Table 7'!O117,'execs Table 7'!Q117,'execs Table 7'!S117,'execs Table 7'!U117)</f>
        <v>20</v>
      </c>
      <c r="T127" s="18">
        <f>SUM('execs Table 7'!D117,'execs Table 7'!F117,'execs Table 7'!H117,'execs Table 7'!J117,'execs Table 7'!L117,'execs Table 7'!N117,'execs Table 7'!P117,'execs Table 7'!R117,'execs Table 7'!T117,'execs Table 7'!V117)</f>
        <v>0.26200000569224358</v>
      </c>
      <c r="U127" s="3">
        <f t="shared" si="24"/>
        <v>0</v>
      </c>
      <c r="V127" s="1">
        <f t="shared" si="25"/>
        <v>1</v>
      </c>
      <c r="W127" s="18">
        <f>MIN('execs Table 7'!G117,'execs Table 7'!I117,'execs Table 7'!K117,'execs Table 7'!M117,'execs Table 7'!O117,'execs Table 7'!Q117,'execs Table 7'!S117,'execs Table 7'!U117,'execs Table 7'!W117,'execs Table 7'!Y117,'execs Table 7'!C117,'execs Table 7'!E117,'execs Table 7'!AA117,'execs Table 7'!AC117,'execs Table 7'!AE117,'execs Table 7'!AG117,'execs Table 7'!AI117,'execs Table 7'!AK117,'execs Table 7'!AM117,'execs Table 7'!AO117)</f>
        <v>20</v>
      </c>
      <c r="X127" s="18">
        <f>SUM('execs Table 7'!H117,'execs Table 7'!J117,'execs Table 7'!L117,'execs Table 7'!N117,'execs Table 7'!P117,'execs Table 7'!R117,'execs Table 7'!T117,'execs Table 7'!V117,'execs Table 7'!X117,'execs Table 7'!Z117,'execs Table 7'!D117,'execs Table 7'!F117,'execs Table 7'!AB117,'execs Table 7'!AD117,'execs Table 7'!AF117,'execs Table 7'!AH117,'execs Table 7'!AJ117,'execs Table 7'!AL117,'execs Table 7'!AN117,'execs Table 7'!AP117)</f>
        <v>0.52200000919401646</v>
      </c>
      <c r="Y127" s="3">
        <f t="shared" si="27"/>
        <v>0</v>
      </c>
      <c r="Z127" s="1">
        <f t="shared" si="28"/>
        <v>1</v>
      </c>
      <c r="AR127" s="2">
        <f t="shared" si="26"/>
        <v>20</v>
      </c>
    </row>
    <row r="128" spans="2:44" ht="16" x14ac:dyDescent="0.2">
      <c r="B128" s="18" t="s">
        <v>132</v>
      </c>
      <c r="C128" s="18">
        <v>771</v>
      </c>
      <c r="D128" s="37" t="s">
        <v>235</v>
      </c>
      <c r="E128" s="3">
        <f t="shared" si="29"/>
        <v>0.90841584158415845</v>
      </c>
      <c r="F128" s="1">
        <f t="shared" si="19"/>
        <v>0</v>
      </c>
      <c r="G128" s="18">
        <v>724</v>
      </c>
      <c r="H128" s="37" t="s">
        <v>235</v>
      </c>
      <c r="I128" s="3">
        <f t="shared" si="17"/>
        <v>0.79207920792079212</v>
      </c>
      <c r="J128" s="1">
        <f t="shared" si="18"/>
        <v>0</v>
      </c>
      <c r="K128" s="18">
        <v>728</v>
      </c>
      <c r="L128" s="37" t="s">
        <v>235</v>
      </c>
      <c r="M128" s="3">
        <f t="shared" si="20"/>
        <v>0.80198019801980203</v>
      </c>
      <c r="N128" s="1">
        <f t="shared" si="21"/>
        <v>0</v>
      </c>
      <c r="O128" s="18">
        <f>'execs Table 7'!C118</f>
        <v>418</v>
      </c>
      <c r="P128" s="18">
        <f>'execs Table 7'!D118</f>
        <v>3.371999979019165</v>
      </c>
      <c r="Q128" s="3">
        <f t="shared" si="22"/>
        <v>3.4653465346534656E-2</v>
      </c>
      <c r="R128" s="1">
        <f t="shared" si="23"/>
        <v>0</v>
      </c>
      <c r="S128" s="18">
        <f>MIN('execs Table 7'!C118,'execs Table 7'!E118,'execs Table 7'!G118,'execs Table 7'!I118,'execs Table 7'!K118,'execs Table 7'!M118,'execs Table 7'!O118,'execs Table 7'!Q118,'execs Table 7'!S118,'execs Table 7'!U118)</f>
        <v>404</v>
      </c>
      <c r="T128" s="18">
        <f>SUM('execs Table 7'!D118,'execs Table 7'!F118,'execs Table 7'!H118,'execs Table 7'!J118,'execs Table 7'!L118,'execs Table 7'!N118,'execs Table 7'!P118,'execs Table 7'!R118,'execs Table 7'!T118,'execs Table 7'!V118)</f>
        <v>34.393999576568604</v>
      </c>
      <c r="U128" s="3">
        <f t="shared" si="24"/>
        <v>0</v>
      </c>
      <c r="V128" s="1">
        <f t="shared" si="25"/>
        <v>1</v>
      </c>
      <c r="W128" s="18">
        <f>MIN('execs Table 7'!G118,'execs Table 7'!I118,'execs Table 7'!K118,'execs Table 7'!M118,'execs Table 7'!O118,'execs Table 7'!Q118,'execs Table 7'!S118,'execs Table 7'!U118,'execs Table 7'!W118,'execs Table 7'!Y118,'execs Table 7'!C118,'execs Table 7'!E118,'execs Table 7'!AA118,'execs Table 7'!AC118,'execs Table 7'!AE118,'execs Table 7'!AG118,'execs Table 7'!AI118,'execs Table 7'!AK118,'execs Table 7'!AM118,'execs Table 7'!AO118)</f>
        <v>404</v>
      </c>
      <c r="X128" s="18">
        <f>SUM('execs Table 7'!H118,'execs Table 7'!J118,'execs Table 7'!L118,'execs Table 7'!N118,'execs Table 7'!P118,'execs Table 7'!R118,'execs Table 7'!T118,'execs Table 7'!V118,'execs Table 7'!X118,'execs Table 7'!Z118,'execs Table 7'!D118,'execs Table 7'!F118,'execs Table 7'!AB118,'execs Table 7'!AD118,'execs Table 7'!AF118,'execs Table 7'!AH118,'execs Table 7'!AJ118,'execs Table 7'!AL118,'execs Table 7'!AN118,'execs Table 7'!AP118)</f>
        <v>64.751999378204346</v>
      </c>
      <c r="Y128" s="3">
        <f t="shared" si="27"/>
        <v>0</v>
      </c>
      <c r="Z128" s="1">
        <f t="shared" si="28"/>
        <v>1</v>
      </c>
      <c r="AR128" s="2">
        <f t="shared" si="26"/>
        <v>404</v>
      </c>
    </row>
  </sheetData>
  <mergeCells count="10">
    <mergeCell ref="AA10:AD10"/>
    <mergeCell ref="AE10:AH10"/>
    <mergeCell ref="AI10:AL10"/>
    <mergeCell ref="AM10:AP10"/>
    <mergeCell ref="C10:F10"/>
    <mergeCell ref="G10:J10"/>
    <mergeCell ref="K10:N10"/>
    <mergeCell ref="O10:R10"/>
    <mergeCell ref="S10:V10"/>
    <mergeCell ref="W10:Z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B8CD5-C795-5349-AC61-6722896865BE}">
  <dimension ref="B2:L169"/>
  <sheetViews>
    <sheetView workbookViewId="0">
      <selection activeCell="C116" sqref="C116:L141"/>
    </sheetView>
  </sheetViews>
  <sheetFormatPr baseColWidth="10" defaultRowHeight="15" x14ac:dyDescent="0.2"/>
  <sheetData>
    <row r="2" spans="2:12" x14ac:dyDescent="0.2">
      <c r="B2" s="46" t="s">
        <v>298</v>
      </c>
      <c r="C2" s="46"/>
      <c r="D2" s="46"/>
      <c r="E2" s="46"/>
      <c r="F2" s="46"/>
      <c r="G2" s="46"/>
      <c r="H2" s="46"/>
      <c r="I2" s="46"/>
      <c r="J2" s="46"/>
      <c r="K2" s="46"/>
      <c r="L2" s="46"/>
    </row>
    <row r="3" spans="2:12" x14ac:dyDescent="0.2">
      <c r="B3" t="s">
        <v>5</v>
      </c>
      <c r="C3" t="s">
        <v>256</v>
      </c>
      <c r="D3" t="s">
        <v>257</v>
      </c>
      <c r="E3" t="s">
        <v>258</v>
      </c>
      <c r="F3" t="s">
        <v>259</v>
      </c>
      <c r="G3" t="s">
        <v>260</v>
      </c>
      <c r="H3" t="s">
        <v>261</v>
      </c>
      <c r="I3" t="s">
        <v>262</v>
      </c>
      <c r="J3" t="s">
        <v>263</v>
      </c>
      <c r="K3" t="s">
        <v>264</v>
      </c>
      <c r="L3" t="s">
        <v>265</v>
      </c>
    </row>
    <row r="4" spans="2:12" x14ac:dyDescent="0.2">
      <c r="B4" t="s">
        <v>6</v>
      </c>
      <c r="C4">
        <v>535</v>
      </c>
      <c r="D4">
        <v>1.8819999694824219</v>
      </c>
      <c r="E4">
        <v>535</v>
      </c>
      <c r="F4">
        <v>0.99000000953674316</v>
      </c>
      <c r="G4">
        <v>537</v>
      </c>
      <c r="H4">
        <v>1.0360000133514404</v>
      </c>
      <c r="I4">
        <v>532</v>
      </c>
      <c r="J4">
        <v>2.1530001163482666</v>
      </c>
      <c r="K4">
        <v>535</v>
      </c>
      <c r="L4">
        <v>1.6510000228881836</v>
      </c>
    </row>
    <row r="5" spans="2:12" x14ac:dyDescent="0.2">
      <c r="B5" t="s">
        <v>7</v>
      </c>
      <c r="C5">
        <v>160</v>
      </c>
      <c r="D5">
        <v>0.25299999117851257</v>
      </c>
      <c r="E5">
        <v>161</v>
      </c>
      <c r="F5">
        <v>0.31499999761581421</v>
      </c>
      <c r="G5">
        <v>161</v>
      </c>
      <c r="H5">
        <v>0.25499999523162842</v>
      </c>
      <c r="I5">
        <v>159</v>
      </c>
      <c r="J5">
        <v>0.36599999666213989</v>
      </c>
      <c r="K5">
        <v>161</v>
      </c>
      <c r="L5">
        <v>0.25600001215934753</v>
      </c>
    </row>
    <row r="6" spans="2:12" x14ac:dyDescent="0.2">
      <c r="B6" t="s">
        <v>8</v>
      </c>
      <c r="C6">
        <v>181</v>
      </c>
      <c r="D6">
        <v>0.49399998784065247</v>
      </c>
      <c r="E6">
        <v>182</v>
      </c>
      <c r="F6">
        <v>0.45699998736381531</v>
      </c>
      <c r="G6">
        <v>181</v>
      </c>
      <c r="H6">
        <v>0.43500000238418579</v>
      </c>
      <c r="I6">
        <v>180</v>
      </c>
      <c r="J6">
        <v>0.45899999141693115</v>
      </c>
      <c r="K6">
        <v>180</v>
      </c>
      <c r="L6">
        <v>0.60500001907348633</v>
      </c>
    </row>
    <row r="7" spans="2:12" x14ac:dyDescent="0.2">
      <c r="B7" t="s">
        <v>9</v>
      </c>
      <c r="C7">
        <v>18</v>
      </c>
      <c r="D7">
        <v>2.199999988079071E-2</v>
      </c>
      <c r="E7">
        <v>18</v>
      </c>
      <c r="F7">
        <v>1.7000000923871994E-2</v>
      </c>
      <c r="G7">
        <v>18</v>
      </c>
      <c r="H7">
        <v>1.7000000923871994E-2</v>
      </c>
      <c r="I7">
        <v>18</v>
      </c>
      <c r="J7">
        <v>1.7000000923871994E-2</v>
      </c>
      <c r="K7">
        <v>18</v>
      </c>
      <c r="L7">
        <v>1.9999999552965164E-2</v>
      </c>
    </row>
    <row r="8" spans="2:12" x14ac:dyDescent="0.2">
      <c r="B8" t="s">
        <v>10</v>
      </c>
      <c r="C8">
        <v>335</v>
      </c>
      <c r="D8">
        <v>14.02299976348877</v>
      </c>
      <c r="E8">
        <v>333</v>
      </c>
      <c r="F8">
        <v>14.692000389099121</v>
      </c>
      <c r="G8">
        <v>333</v>
      </c>
      <c r="H8">
        <v>26.570999145507812</v>
      </c>
      <c r="I8">
        <v>332</v>
      </c>
      <c r="J8">
        <v>22.195999145507812</v>
      </c>
      <c r="K8">
        <v>336</v>
      </c>
      <c r="L8">
        <v>16.333000183105469</v>
      </c>
    </row>
    <row r="9" spans="2:12" x14ac:dyDescent="0.2">
      <c r="B9" t="s">
        <v>11</v>
      </c>
      <c r="C9">
        <v>57</v>
      </c>
      <c r="D9">
        <v>8.3999998867511749E-2</v>
      </c>
      <c r="E9">
        <v>57</v>
      </c>
      <c r="F9">
        <v>8.7999999523162842E-2</v>
      </c>
      <c r="G9">
        <v>57</v>
      </c>
      <c r="H9">
        <v>8.9000001549720764E-2</v>
      </c>
      <c r="I9">
        <v>57</v>
      </c>
      <c r="J9">
        <v>8.5000000894069672E-2</v>
      </c>
      <c r="K9">
        <v>57</v>
      </c>
      <c r="L9">
        <v>8.6000002920627594E-2</v>
      </c>
    </row>
    <row r="10" spans="2:12" x14ac:dyDescent="0.2">
      <c r="B10" t="s">
        <v>12</v>
      </c>
      <c r="C10">
        <v>26</v>
      </c>
      <c r="D10">
        <v>6.120999813079834</v>
      </c>
      <c r="E10">
        <v>26</v>
      </c>
      <c r="F10">
        <v>6.0339999198913574</v>
      </c>
      <c r="G10">
        <v>26</v>
      </c>
      <c r="H10">
        <v>6.0749998092651367</v>
      </c>
      <c r="I10">
        <v>26</v>
      </c>
      <c r="J10">
        <v>6.1279997825622559</v>
      </c>
      <c r="K10">
        <v>26</v>
      </c>
      <c r="L10">
        <v>6.0819997787475586</v>
      </c>
    </row>
    <row r="11" spans="2:12" x14ac:dyDescent="0.2">
      <c r="B11" t="s">
        <v>13</v>
      </c>
      <c r="C11">
        <v>298</v>
      </c>
      <c r="D11">
        <v>26.610000610351562</v>
      </c>
      <c r="E11">
        <v>294</v>
      </c>
      <c r="F11">
        <v>31.521999359130859</v>
      </c>
      <c r="G11">
        <v>291</v>
      </c>
      <c r="H11">
        <v>58.722999572753906</v>
      </c>
      <c r="I11">
        <v>290</v>
      </c>
      <c r="J11">
        <v>46.550998687744141</v>
      </c>
      <c r="K11">
        <v>292</v>
      </c>
      <c r="L11">
        <v>41.130001068115234</v>
      </c>
    </row>
    <row r="12" spans="2:12" x14ac:dyDescent="0.2">
      <c r="B12" t="s">
        <v>14</v>
      </c>
      <c r="C12">
        <v>149</v>
      </c>
      <c r="D12">
        <v>0.95899999141693115</v>
      </c>
      <c r="E12">
        <v>151</v>
      </c>
      <c r="F12">
        <v>0.58300000429153442</v>
      </c>
      <c r="G12">
        <v>151</v>
      </c>
      <c r="H12">
        <v>1.0700000524520874</v>
      </c>
      <c r="I12">
        <v>150</v>
      </c>
      <c r="J12">
        <v>0.7369999885559082</v>
      </c>
      <c r="K12">
        <v>152</v>
      </c>
      <c r="L12">
        <v>0.64800000190734863</v>
      </c>
    </row>
    <row r="13" spans="2:12" x14ac:dyDescent="0.2">
      <c r="B13" t="s">
        <v>15</v>
      </c>
      <c r="C13">
        <v>44</v>
      </c>
      <c r="D13">
        <v>7.0000002160668373E-3</v>
      </c>
      <c r="E13">
        <v>44</v>
      </c>
      <c r="F13">
        <v>7.0000002160668373E-3</v>
      </c>
      <c r="G13">
        <v>44</v>
      </c>
      <c r="H13">
        <v>8.0000003799796104E-3</v>
      </c>
      <c r="I13">
        <v>43</v>
      </c>
      <c r="J13">
        <v>8.999999612569809E-3</v>
      </c>
      <c r="K13">
        <v>44</v>
      </c>
      <c r="L13">
        <v>7.0000002160668373E-3</v>
      </c>
    </row>
    <row r="14" spans="2:12" x14ac:dyDescent="0.2">
      <c r="B14" t="s">
        <v>16</v>
      </c>
      <c r="C14">
        <v>18</v>
      </c>
      <c r="D14">
        <v>11.258000373840332</v>
      </c>
      <c r="E14">
        <v>18</v>
      </c>
      <c r="F14">
        <v>11.269000053405762</v>
      </c>
      <c r="G14">
        <v>18</v>
      </c>
      <c r="H14">
        <v>11.187000274658203</v>
      </c>
      <c r="I14">
        <v>18</v>
      </c>
      <c r="J14">
        <v>10.843000411987305</v>
      </c>
      <c r="K14">
        <v>18</v>
      </c>
      <c r="L14">
        <v>11.076000213623047</v>
      </c>
    </row>
    <row r="15" spans="2:12" x14ac:dyDescent="0.2">
      <c r="B15" t="s">
        <v>17</v>
      </c>
      <c r="C15">
        <v>3</v>
      </c>
      <c r="D15">
        <v>14.093000411987305</v>
      </c>
      <c r="E15">
        <v>3</v>
      </c>
      <c r="F15">
        <v>12.520000457763672</v>
      </c>
      <c r="G15">
        <v>3</v>
      </c>
      <c r="H15">
        <v>12.49899959564209</v>
      </c>
      <c r="I15">
        <v>3</v>
      </c>
      <c r="J15">
        <v>11.906999588012695</v>
      </c>
      <c r="K15">
        <v>3</v>
      </c>
      <c r="L15">
        <v>11.461000442504883</v>
      </c>
    </row>
    <row r="16" spans="2:12" x14ac:dyDescent="0.2">
      <c r="B16" t="s">
        <v>18</v>
      </c>
      <c r="C16">
        <v>59</v>
      </c>
      <c r="D16">
        <v>0.20900000631809235</v>
      </c>
      <c r="E16">
        <v>59</v>
      </c>
      <c r="F16">
        <v>0.21199999749660492</v>
      </c>
      <c r="G16">
        <v>59</v>
      </c>
      <c r="H16">
        <v>0.21699999272823334</v>
      </c>
      <c r="I16">
        <v>59</v>
      </c>
      <c r="J16">
        <v>0.20900000631809235</v>
      </c>
      <c r="K16">
        <v>59</v>
      </c>
      <c r="L16">
        <v>0.21600000560283661</v>
      </c>
    </row>
    <row r="17" spans="2:12" x14ac:dyDescent="0.2">
      <c r="B17" t="s">
        <v>19</v>
      </c>
      <c r="C17">
        <v>318</v>
      </c>
      <c r="D17">
        <v>3.1029999256134033</v>
      </c>
      <c r="E17">
        <v>342</v>
      </c>
      <c r="F17">
        <v>2.8239998817443848</v>
      </c>
      <c r="G17">
        <v>327</v>
      </c>
      <c r="H17">
        <v>1.7740000486373901</v>
      </c>
      <c r="I17">
        <v>315</v>
      </c>
      <c r="J17">
        <v>4.9710001945495605</v>
      </c>
      <c r="K17">
        <v>336</v>
      </c>
      <c r="L17">
        <v>1.7879999876022339</v>
      </c>
    </row>
    <row r="18" spans="2:12" x14ac:dyDescent="0.2">
      <c r="B18" t="s">
        <v>20</v>
      </c>
      <c r="C18">
        <v>539</v>
      </c>
      <c r="D18">
        <v>32.127998352050781</v>
      </c>
      <c r="E18">
        <v>534</v>
      </c>
      <c r="F18">
        <v>48.544998168945312</v>
      </c>
      <c r="G18">
        <v>548</v>
      </c>
      <c r="H18">
        <v>35.076000213623047</v>
      </c>
      <c r="I18">
        <v>561</v>
      </c>
      <c r="J18">
        <v>18.792999267578125</v>
      </c>
      <c r="K18">
        <v>555</v>
      </c>
      <c r="L18">
        <v>24.716999053955078</v>
      </c>
    </row>
    <row r="19" spans="2:12" x14ac:dyDescent="0.2">
      <c r="B19" t="s">
        <v>21</v>
      </c>
      <c r="C19">
        <v>106</v>
      </c>
      <c r="D19">
        <v>31.052000045776367</v>
      </c>
      <c r="E19">
        <v>102</v>
      </c>
      <c r="F19">
        <v>20.718999862670898</v>
      </c>
      <c r="G19">
        <v>102</v>
      </c>
      <c r="H19">
        <v>37.356998443603516</v>
      </c>
      <c r="I19">
        <v>102</v>
      </c>
      <c r="J19">
        <v>21.613000869750977</v>
      </c>
      <c r="K19">
        <v>106</v>
      </c>
      <c r="L19">
        <v>38.504001617431641</v>
      </c>
    </row>
    <row r="20" spans="2:12" x14ac:dyDescent="0.2">
      <c r="B20" t="s">
        <v>22</v>
      </c>
      <c r="C20">
        <v>19</v>
      </c>
      <c r="D20">
        <v>8.0000003799796104E-3</v>
      </c>
      <c r="E20">
        <v>19</v>
      </c>
      <c r="F20">
        <v>7.0000002160668373E-3</v>
      </c>
      <c r="G20">
        <v>19</v>
      </c>
      <c r="H20">
        <v>1.0999999940395355E-2</v>
      </c>
      <c r="I20">
        <v>19</v>
      </c>
      <c r="J20">
        <v>9.9999997764825821E-3</v>
      </c>
      <c r="K20">
        <v>19</v>
      </c>
      <c r="L20">
        <v>6.0000000521540642E-3</v>
      </c>
    </row>
    <row r="21" spans="2:12" x14ac:dyDescent="0.2">
      <c r="B21" t="s">
        <v>23</v>
      </c>
      <c r="C21">
        <v>39</v>
      </c>
      <c r="D21">
        <v>3.687000036239624</v>
      </c>
      <c r="E21">
        <v>39</v>
      </c>
      <c r="F21">
        <v>3.2920000553131104</v>
      </c>
      <c r="G21">
        <v>39</v>
      </c>
      <c r="H21">
        <v>3.1419999599456787</v>
      </c>
      <c r="I21">
        <v>39</v>
      </c>
      <c r="J21">
        <v>3.125</v>
      </c>
      <c r="K21">
        <v>39</v>
      </c>
      <c r="L21">
        <v>3.059999942779541</v>
      </c>
    </row>
    <row r="22" spans="2:12" x14ac:dyDescent="0.2">
      <c r="B22" t="s">
        <v>24</v>
      </c>
      <c r="C22">
        <v>194</v>
      </c>
      <c r="D22">
        <v>1.0529999732971191</v>
      </c>
      <c r="E22">
        <v>194</v>
      </c>
      <c r="F22">
        <v>1.1460000276565552</v>
      </c>
      <c r="G22">
        <v>192</v>
      </c>
      <c r="H22">
        <v>1.2059999704360962</v>
      </c>
      <c r="I22">
        <v>192</v>
      </c>
      <c r="J22">
        <v>0.92100000381469727</v>
      </c>
      <c r="K22">
        <v>195</v>
      </c>
      <c r="L22">
        <v>0.93699997663497925</v>
      </c>
    </row>
    <row r="23" spans="2:12" x14ac:dyDescent="0.2">
      <c r="B23" t="s">
        <v>25</v>
      </c>
      <c r="C23">
        <v>519</v>
      </c>
      <c r="D23">
        <v>2.8819999694824219</v>
      </c>
      <c r="E23">
        <v>524</v>
      </c>
      <c r="F23">
        <v>2.8849999904632568</v>
      </c>
      <c r="G23">
        <v>519</v>
      </c>
      <c r="H23">
        <v>3.187000036239624</v>
      </c>
      <c r="I23">
        <v>513</v>
      </c>
      <c r="J23">
        <v>2.7439999580383301</v>
      </c>
      <c r="K23">
        <v>522</v>
      </c>
      <c r="L23">
        <v>2.5160000324249268</v>
      </c>
    </row>
    <row r="24" spans="2:12" x14ac:dyDescent="0.2">
      <c r="B24" t="s">
        <v>26</v>
      </c>
      <c r="C24">
        <v>94</v>
      </c>
      <c r="D24">
        <v>0.13600000739097595</v>
      </c>
      <c r="E24">
        <v>94</v>
      </c>
      <c r="F24">
        <v>0.13300000131130219</v>
      </c>
      <c r="G24">
        <v>94</v>
      </c>
      <c r="H24">
        <v>0.13899999856948853</v>
      </c>
      <c r="I24">
        <v>94</v>
      </c>
      <c r="J24">
        <v>0.12999999523162842</v>
      </c>
      <c r="K24">
        <v>94</v>
      </c>
      <c r="L24">
        <v>0.13600000739097595</v>
      </c>
    </row>
    <row r="25" spans="2:12" x14ac:dyDescent="0.2">
      <c r="B25" t="s">
        <v>27</v>
      </c>
      <c r="C25">
        <v>135</v>
      </c>
      <c r="D25">
        <v>0.30700001120567322</v>
      </c>
      <c r="E25">
        <v>134</v>
      </c>
      <c r="F25">
        <v>0.17800000309944153</v>
      </c>
      <c r="G25">
        <v>134</v>
      </c>
      <c r="H25">
        <v>0.25099998712539673</v>
      </c>
      <c r="I25">
        <v>136</v>
      </c>
      <c r="J25">
        <v>0.31400001049041748</v>
      </c>
      <c r="K25">
        <v>136</v>
      </c>
      <c r="L25">
        <v>0.26199999451637268</v>
      </c>
    </row>
    <row r="26" spans="2:12" x14ac:dyDescent="0.2">
      <c r="B26" t="s">
        <v>28</v>
      </c>
      <c r="C26">
        <v>35</v>
      </c>
      <c r="D26">
        <v>0.89800000190734863</v>
      </c>
      <c r="E26">
        <v>35</v>
      </c>
      <c r="F26">
        <v>0.74900001287460327</v>
      </c>
      <c r="G26">
        <v>36</v>
      </c>
      <c r="H26">
        <v>0.73199999332427979</v>
      </c>
      <c r="I26">
        <v>35</v>
      </c>
      <c r="J26">
        <v>0.73299998044967651</v>
      </c>
      <c r="K26">
        <v>35</v>
      </c>
      <c r="L26">
        <v>0.77399998903274536</v>
      </c>
    </row>
    <row r="27" spans="2:12" x14ac:dyDescent="0.2">
      <c r="B27" t="s">
        <v>29</v>
      </c>
      <c r="C27">
        <v>65</v>
      </c>
      <c r="D27">
        <v>4.3000001460313797E-2</v>
      </c>
      <c r="E27">
        <v>61</v>
      </c>
      <c r="F27">
        <v>3.4000001847743988E-2</v>
      </c>
      <c r="G27">
        <v>61</v>
      </c>
      <c r="H27">
        <v>3.9999999105930328E-2</v>
      </c>
      <c r="I27">
        <v>61</v>
      </c>
      <c r="J27">
        <v>3.5000000149011612E-2</v>
      </c>
      <c r="K27">
        <v>61</v>
      </c>
      <c r="L27">
        <v>3.5999998450279236E-2</v>
      </c>
    </row>
    <row r="28" spans="2:12" x14ac:dyDescent="0.2">
      <c r="B28" t="s">
        <v>30</v>
      </c>
      <c r="C28">
        <v>11</v>
      </c>
      <c r="D28">
        <v>2.3000000044703484E-2</v>
      </c>
      <c r="E28">
        <v>11</v>
      </c>
      <c r="F28">
        <v>1.7999999225139618E-2</v>
      </c>
      <c r="G28">
        <v>11</v>
      </c>
      <c r="H28">
        <v>2.7000000700354576E-2</v>
      </c>
      <c r="I28">
        <v>11</v>
      </c>
      <c r="J28">
        <v>2.0999999716877937E-2</v>
      </c>
      <c r="K28">
        <v>11</v>
      </c>
      <c r="L28">
        <v>2.500000037252903E-2</v>
      </c>
    </row>
    <row r="29" spans="2:12" x14ac:dyDescent="0.2">
      <c r="B29" t="s">
        <v>32</v>
      </c>
      <c r="C29">
        <v>92</v>
      </c>
      <c r="D29">
        <v>0.31299999356269836</v>
      </c>
      <c r="E29">
        <v>92</v>
      </c>
      <c r="F29">
        <v>0.24899999797344208</v>
      </c>
      <c r="G29">
        <v>96</v>
      </c>
      <c r="H29">
        <v>0.19900000095367432</v>
      </c>
      <c r="I29">
        <v>91</v>
      </c>
      <c r="J29">
        <v>0.41899999976158142</v>
      </c>
      <c r="K29">
        <v>93</v>
      </c>
      <c r="L29">
        <v>0.33899998664855957</v>
      </c>
    </row>
    <row r="30" spans="2:12" x14ac:dyDescent="0.2">
      <c r="B30" s="46" t="s">
        <v>299</v>
      </c>
      <c r="C30" s="46"/>
      <c r="D30" s="46"/>
      <c r="E30" s="46"/>
      <c r="F30" s="46"/>
      <c r="G30" s="46"/>
      <c r="H30" s="46"/>
      <c r="I30" s="46"/>
      <c r="J30" s="46"/>
      <c r="K30" s="46"/>
      <c r="L30" s="46"/>
    </row>
    <row r="31" spans="2:12" x14ac:dyDescent="0.2">
      <c r="B31" t="s">
        <v>5</v>
      </c>
      <c r="C31" t="s">
        <v>256</v>
      </c>
      <c r="D31" t="s">
        <v>257</v>
      </c>
      <c r="E31" t="s">
        <v>258</v>
      </c>
      <c r="F31" t="s">
        <v>259</v>
      </c>
      <c r="G31" t="s">
        <v>260</v>
      </c>
      <c r="H31" t="s">
        <v>261</v>
      </c>
      <c r="I31" t="s">
        <v>262</v>
      </c>
      <c r="J31" t="s">
        <v>263</v>
      </c>
      <c r="K31" t="s">
        <v>264</v>
      </c>
      <c r="L31" t="s">
        <v>265</v>
      </c>
    </row>
    <row r="32" spans="2:12" x14ac:dyDescent="0.2">
      <c r="B32" t="s">
        <v>6</v>
      </c>
      <c r="C32">
        <v>539</v>
      </c>
      <c r="D32">
        <v>11.675999641418457</v>
      </c>
      <c r="E32">
        <v>537</v>
      </c>
      <c r="F32">
        <v>20.034999847412109</v>
      </c>
      <c r="G32">
        <v>540</v>
      </c>
      <c r="H32">
        <v>7.6789999008178711</v>
      </c>
      <c r="I32">
        <v>540</v>
      </c>
      <c r="J32">
        <v>9.3380002975463867</v>
      </c>
      <c r="K32">
        <v>539</v>
      </c>
      <c r="L32">
        <v>10.723999977111816</v>
      </c>
    </row>
    <row r="33" spans="2:12" x14ac:dyDescent="0.2">
      <c r="B33" t="s">
        <v>7</v>
      </c>
      <c r="C33">
        <v>175</v>
      </c>
      <c r="D33">
        <v>1.5080000162124634</v>
      </c>
      <c r="E33">
        <v>183</v>
      </c>
      <c r="F33">
        <v>1.3700000047683716</v>
      </c>
      <c r="G33">
        <v>183</v>
      </c>
      <c r="H33">
        <v>0.9309999942779541</v>
      </c>
      <c r="I33">
        <v>181</v>
      </c>
      <c r="J33">
        <v>1.5859999656677246</v>
      </c>
      <c r="K33">
        <v>183</v>
      </c>
      <c r="L33">
        <v>0.76099997758865356</v>
      </c>
    </row>
    <row r="34" spans="2:12" x14ac:dyDescent="0.2">
      <c r="B34" t="s">
        <v>8</v>
      </c>
      <c r="C34">
        <v>185</v>
      </c>
      <c r="D34">
        <v>1.9220000505447388</v>
      </c>
      <c r="E34">
        <v>185</v>
      </c>
      <c r="F34">
        <v>1.281999945640564</v>
      </c>
      <c r="G34">
        <v>186</v>
      </c>
      <c r="H34">
        <v>2.4500000476837158</v>
      </c>
      <c r="I34">
        <v>185</v>
      </c>
      <c r="J34">
        <v>1.5060000419616699</v>
      </c>
      <c r="K34">
        <v>184</v>
      </c>
      <c r="L34">
        <v>1.9309999942779541</v>
      </c>
    </row>
    <row r="35" spans="2:12" x14ac:dyDescent="0.2">
      <c r="B35" t="s">
        <v>9</v>
      </c>
      <c r="C35">
        <v>20</v>
      </c>
      <c r="D35">
        <v>2.8000000864267349E-2</v>
      </c>
      <c r="E35">
        <v>24</v>
      </c>
      <c r="F35">
        <v>2.3000000044703484E-2</v>
      </c>
      <c r="G35">
        <v>22</v>
      </c>
      <c r="H35">
        <v>4.3000001460313797E-2</v>
      </c>
      <c r="I35">
        <v>22</v>
      </c>
      <c r="J35">
        <v>5.2000001072883606E-2</v>
      </c>
      <c r="K35">
        <v>22</v>
      </c>
      <c r="L35">
        <v>3.5999998450279236E-2</v>
      </c>
    </row>
    <row r="36" spans="2:12" x14ac:dyDescent="0.2">
      <c r="B36" t="s">
        <v>10</v>
      </c>
      <c r="C36">
        <v>349</v>
      </c>
      <c r="D36">
        <v>123.25700378417969</v>
      </c>
      <c r="E36">
        <v>350</v>
      </c>
      <c r="F36">
        <v>74.512001037597656</v>
      </c>
      <c r="G36">
        <v>345</v>
      </c>
      <c r="H36">
        <v>185.20899963378906</v>
      </c>
      <c r="I36">
        <v>345</v>
      </c>
      <c r="J36">
        <v>135.60099792480469</v>
      </c>
      <c r="K36">
        <v>347</v>
      </c>
      <c r="L36">
        <v>146.11300659179688</v>
      </c>
    </row>
    <row r="37" spans="2:12" x14ac:dyDescent="0.2">
      <c r="B37" t="s">
        <v>11</v>
      </c>
      <c r="C37">
        <v>57</v>
      </c>
      <c r="D37">
        <v>0.76700001955032349</v>
      </c>
      <c r="E37">
        <v>57</v>
      </c>
      <c r="F37">
        <v>0.65700000524520874</v>
      </c>
      <c r="G37">
        <v>57</v>
      </c>
      <c r="H37">
        <v>0.68000000715255737</v>
      </c>
      <c r="I37">
        <v>57</v>
      </c>
      <c r="J37">
        <v>0.53899997472763062</v>
      </c>
      <c r="K37">
        <v>59</v>
      </c>
      <c r="L37">
        <v>0.96899998188018799</v>
      </c>
    </row>
    <row r="38" spans="2:12" x14ac:dyDescent="0.2">
      <c r="B38" t="s">
        <v>12</v>
      </c>
      <c r="C38">
        <v>26</v>
      </c>
      <c r="D38">
        <v>24.483999252319336</v>
      </c>
      <c r="E38">
        <v>26</v>
      </c>
      <c r="F38">
        <v>21.285999298095703</v>
      </c>
      <c r="G38">
        <v>26</v>
      </c>
      <c r="H38">
        <v>21.25200080871582</v>
      </c>
      <c r="I38">
        <v>26</v>
      </c>
      <c r="J38">
        <v>23.818000793457031</v>
      </c>
      <c r="K38">
        <v>26</v>
      </c>
      <c r="L38">
        <v>22.996000289916992</v>
      </c>
    </row>
    <row r="39" spans="2:12" x14ac:dyDescent="0.2">
      <c r="B39" t="s">
        <v>13</v>
      </c>
      <c r="C39">
        <v>308</v>
      </c>
      <c r="D39">
        <v>45.555999755859375</v>
      </c>
      <c r="E39">
        <v>302</v>
      </c>
      <c r="F39">
        <v>79.005996704101562</v>
      </c>
      <c r="G39">
        <v>301</v>
      </c>
      <c r="H39">
        <v>67.295997619628906</v>
      </c>
      <c r="I39">
        <v>300</v>
      </c>
      <c r="J39">
        <v>52.054000854492188</v>
      </c>
      <c r="K39">
        <v>299</v>
      </c>
      <c r="L39">
        <v>90.197998046875</v>
      </c>
    </row>
    <row r="40" spans="2:12" x14ac:dyDescent="0.2">
      <c r="B40" t="s">
        <v>14</v>
      </c>
      <c r="C40">
        <v>153</v>
      </c>
      <c r="D40">
        <v>6.179999828338623</v>
      </c>
      <c r="E40">
        <v>153</v>
      </c>
      <c r="F40">
        <v>6.5339999198913574</v>
      </c>
      <c r="G40">
        <v>158</v>
      </c>
      <c r="H40">
        <v>5.684999942779541</v>
      </c>
      <c r="I40">
        <v>162</v>
      </c>
      <c r="J40">
        <v>4.5859999656677246</v>
      </c>
      <c r="K40">
        <v>156</v>
      </c>
      <c r="L40">
        <v>5.6810002326965332</v>
      </c>
    </row>
    <row r="41" spans="2:12" x14ac:dyDescent="0.2">
      <c r="B41" t="s">
        <v>15</v>
      </c>
      <c r="C41">
        <v>43</v>
      </c>
      <c r="D41">
        <v>2.0999999716877937E-2</v>
      </c>
      <c r="E41">
        <v>45</v>
      </c>
      <c r="F41">
        <v>2.0999999716877937E-2</v>
      </c>
      <c r="G41">
        <v>45</v>
      </c>
      <c r="H41">
        <v>1.7999999225139618E-2</v>
      </c>
      <c r="I41">
        <v>45</v>
      </c>
      <c r="J41">
        <v>1.4999999664723873E-2</v>
      </c>
      <c r="K41">
        <v>45</v>
      </c>
      <c r="L41">
        <v>2.6000000536441803E-2</v>
      </c>
    </row>
    <row r="42" spans="2:12" x14ac:dyDescent="0.2">
      <c r="B42" t="s">
        <v>16</v>
      </c>
      <c r="C42">
        <v>18</v>
      </c>
      <c r="D42">
        <v>41.687999725341797</v>
      </c>
      <c r="E42">
        <v>18</v>
      </c>
      <c r="F42">
        <v>40.270000457763672</v>
      </c>
      <c r="G42">
        <v>18</v>
      </c>
      <c r="H42">
        <v>41.067001342773438</v>
      </c>
      <c r="I42">
        <v>18</v>
      </c>
      <c r="J42">
        <v>40.762001037597656</v>
      </c>
      <c r="K42">
        <v>18</v>
      </c>
      <c r="L42">
        <v>40.592998504638672</v>
      </c>
    </row>
    <row r="43" spans="2:12" x14ac:dyDescent="0.2">
      <c r="B43" t="s">
        <v>17</v>
      </c>
      <c r="C43">
        <v>3</v>
      </c>
      <c r="D43">
        <v>99.172996520996094</v>
      </c>
      <c r="E43">
        <v>3</v>
      </c>
      <c r="F43">
        <v>95.928001403808594</v>
      </c>
      <c r="G43">
        <v>3</v>
      </c>
      <c r="H43">
        <v>94.330001831054688</v>
      </c>
      <c r="I43">
        <v>3</v>
      </c>
      <c r="J43">
        <v>95.93499755859375</v>
      </c>
      <c r="K43">
        <v>3</v>
      </c>
      <c r="L43">
        <v>96.180999755859375</v>
      </c>
    </row>
    <row r="44" spans="2:12" x14ac:dyDescent="0.2">
      <c r="B44" t="s">
        <v>18</v>
      </c>
      <c r="C44">
        <v>62</v>
      </c>
      <c r="D44">
        <v>0.33799999952316284</v>
      </c>
      <c r="E44">
        <v>60</v>
      </c>
      <c r="F44">
        <v>0.38600000739097595</v>
      </c>
      <c r="G44">
        <v>62</v>
      </c>
      <c r="H44">
        <v>0.4050000011920929</v>
      </c>
      <c r="I44">
        <v>62</v>
      </c>
      <c r="J44">
        <v>0.32899999618530273</v>
      </c>
      <c r="K44">
        <v>62</v>
      </c>
      <c r="L44">
        <v>0.3449999988079071</v>
      </c>
    </row>
    <row r="45" spans="2:12" x14ac:dyDescent="0.2">
      <c r="B45" t="s">
        <v>19</v>
      </c>
      <c r="C45">
        <v>400</v>
      </c>
      <c r="D45">
        <v>45.557998657226562</v>
      </c>
      <c r="E45">
        <v>366</v>
      </c>
      <c r="F45">
        <v>105.83399963378906</v>
      </c>
      <c r="G45">
        <v>367</v>
      </c>
      <c r="H45">
        <v>111.41500091552734</v>
      </c>
      <c r="I45">
        <v>352</v>
      </c>
      <c r="J45">
        <v>114.21199798583984</v>
      </c>
      <c r="K45">
        <v>348</v>
      </c>
      <c r="L45">
        <v>85.641998291015625</v>
      </c>
    </row>
    <row r="46" spans="2:12" x14ac:dyDescent="0.2">
      <c r="B46" t="s">
        <v>20</v>
      </c>
      <c r="C46">
        <v>787</v>
      </c>
      <c r="D46">
        <v>141.16000366210938</v>
      </c>
      <c r="E46">
        <v>803</v>
      </c>
      <c r="F46">
        <v>66.820999145507812</v>
      </c>
      <c r="G46">
        <v>809</v>
      </c>
      <c r="H46">
        <v>95.259002685546875</v>
      </c>
      <c r="I46">
        <v>809</v>
      </c>
      <c r="J46">
        <v>69.088996887207031</v>
      </c>
      <c r="K46">
        <v>806</v>
      </c>
      <c r="L46">
        <v>60.983001708984375</v>
      </c>
    </row>
    <row r="47" spans="2:12" x14ac:dyDescent="0.2">
      <c r="B47" t="s">
        <v>21</v>
      </c>
      <c r="C47">
        <v>112</v>
      </c>
      <c r="D47">
        <v>33.826999664306641</v>
      </c>
      <c r="E47">
        <v>110</v>
      </c>
      <c r="F47">
        <v>41.127998352050781</v>
      </c>
      <c r="G47">
        <v>104</v>
      </c>
      <c r="H47">
        <v>52.995998382568359</v>
      </c>
      <c r="I47">
        <v>116</v>
      </c>
      <c r="J47">
        <v>58.237998962402344</v>
      </c>
      <c r="K47">
        <v>120</v>
      </c>
      <c r="L47">
        <v>33.659999847412109</v>
      </c>
    </row>
    <row r="48" spans="2:12" x14ac:dyDescent="0.2">
      <c r="B48" t="s">
        <v>22</v>
      </c>
      <c r="C48">
        <v>20</v>
      </c>
      <c r="D48">
        <v>8.0000003799796104E-3</v>
      </c>
      <c r="E48">
        <v>20</v>
      </c>
      <c r="F48">
        <v>8.999999612569809E-3</v>
      </c>
      <c r="G48">
        <v>21</v>
      </c>
      <c r="H48">
        <v>9.9999997764825821E-3</v>
      </c>
      <c r="I48">
        <v>21</v>
      </c>
      <c r="J48">
        <v>9.9999997764825821E-3</v>
      </c>
      <c r="K48">
        <v>20</v>
      </c>
      <c r="L48">
        <v>8.999999612569809E-3</v>
      </c>
    </row>
    <row r="49" spans="2:12" x14ac:dyDescent="0.2">
      <c r="B49" t="s">
        <v>23</v>
      </c>
      <c r="C49">
        <v>39</v>
      </c>
      <c r="D49">
        <v>152.41400146484375</v>
      </c>
      <c r="E49">
        <v>39</v>
      </c>
      <c r="F49">
        <v>158.28900146484375</v>
      </c>
      <c r="G49">
        <v>39</v>
      </c>
      <c r="H49">
        <v>160.16700744628906</v>
      </c>
      <c r="I49">
        <v>39</v>
      </c>
      <c r="J49">
        <v>160.7239990234375</v>
      </c>
      <c r="K49">
        <v>39</v>
      </c>
      <c r="L49">
        <v>147.1820068359375</v>
      </c>
    </row>
    <row r="50" spans="2:12" x14ac:dyDescent="0.2">
      <c r="B50" t="s">
        <v>24</v>
      </c>
      <c r="C50">
        <v>196</v>
      </c>
      <c r="D50">
        <v>6.6710000038146973</v>
      </c>
      <c r="E50">
        <v>198</v>
      </c>
      <c r="F50">
        <v>4.9790000915527344</v>
      </c>
      <c r="G50">
        <v>197</v>
      </c>
      <c r="H50">
        <v>7.1690001487731934</v>
      </c>
      <c r="I50">
        <v>196</v>
      </c>
      <c r="J50">
        <v>6.0469999313354492</v>
      </c>
      <c r="K50">
        <v>197</v>
      </c>
      <c r="L50">
        <v>6.2659997940063477</v>
      </c>
    </row>
    <row r="51" spans="2:12" x14ac:dyDescent="0.2">
      <c r="B51" t="s">
        <v>25</v>
      </c>
      <c r="C51">
        <v>581</v>
      </c>
      <c r="D51">
        <v>50.349998474121094</v>
      </c>
      <c r="E51">
        <v>599</v>
      </c>
      <c r="F51">
        <v>25.732000350952148</v>
      </c>
      <c r="G51">
        <v>594</v>
      </c>
      <c r="H51">
        <v>43.554000854492188</v>
      </c>
      <c r="I51">
        <v>589</v>
      </c>
      <c r="J51">
        <v>24.974000930786133</v>
      </c>
      <c r="K51">
        <v>588</v>
      </c>
      <c r="L51">
        <v>39.193000793457031</v>
      </c>
    </row>
    <row r="52" spans="2:12" x14ac:dyDescent="0.2">
      <c r="B52" t="s">
        <v>26</v>
      </c>
      <c r="C52">
        <v>94</v>
      </c>
      <c r="D52">
        <v>0.210999995470047</v>
      </c>
      <c r="E52">
        <v>94</v>
      </c>
      <c r="F52">
        <v>0.21299999952316284</v>
      </c>
      <c r="G52">
        <v>94</v>
      </c>
      <c r="H52">
        <v>0.20399999618530273</v>
      </c>
      <c r="I52">
        <v>94</v>
      </c>
      <c r="J52">
        <v>0.20299999415874481</v>
      </c>
      <c r="K52">
        <v>94</v>
      </c>
      <c r="L52">
        <v>0.20000000298023224</v>
      </c>
    </row>
    <row r="53" spans="2:12" x14ac:dyDescent="0.2">
      <c r="B53" t="s">
        <v>27</v>
      </c>
      <c r="C53">
        <v>145</v>
      </c>
      <c r="D53">
        <v>1.8710000514984131</v>
      </c>
      <c r="E53">
        <v>146</v>
      </c>
      <c r="F53">
        <v>0.9179999828338623</v>
      </c>
      <c r="G53">
        <v>150</v>
      </c>
      <c r="H53">
        <v>1.1460000276565552</v>
      </c>
      <c r="I53">
        <v>147</v>
      </c>
      <c r="J53">
        <v>1.9520000219345093</v>
      </c>
      <c r="K53">
        <v>149</v>
      </c>
      <c r="L53">
        <v>1.3079999685287476</v>
      </c>
    </row>
    <row r="54" spans="2:12" x14ac:dyDescent="0.2">
      <c r="B54" t="s">
        <v>28</v>
      </c>
      <c r="C54">
        <v>38</v>
      </c>
      <c r="D54">
        <v>1.437999963760376</v>
      </c>
      <c r="E54">
        <v>38</v>
      </c>
      <c r="F54">
        <v>2.0260000228881836</v>
      </c>
      <c r="G54">
        <v>38</v>
      </c>
      <c r="H54">
        <v>1.2359999418258667</v>
      </c>
      <c r="I54">
        <v>38</v>
      </c>
      <c r="J54">
        <v>1.2710000276565552</v>
      </c>
      <c r="K54">
        <v>38</v>
      </c>
      <c r="L54">
        <v>1.2109999656677246</v>
      </c>
    </row>
    <row r="55" spans="2:12" x14ac:dyDescent="0.2">
      <c r="B55" t="s">
        <v>29</v>
      </c>
      <c r="C55">
        <v>67</v>
      </c>
      <c r="D55">
        <v>0.22100000083446503</v>
      </c>
      <c r="E55">
        <v>67</v>
      </c>
      <c r="F55">
        <v>0.1120000034570694</v>
      </c>
      <c r="G55">
        <v>70</v>
      </c>
      <c r="H55">
        <v>0.164000004529953</v>
      </c>
      <c r="I55">
        <v>70</v>
      </c>
      <c r="J55">
        <v>0.10300000011920929</v>
      </c>
      <c r="K55">
        <v>67</v>
      </c>
      <c r="L55">
        <v>0.23399999737739563</v>
      </c>
    </row>
    <row r="56" spans="2:12" x14ac:dyDescent="0.2">
      <c r="B56" t="s">
        <v>30</v>
      </c>
      <c r="C56">
        <v>15</v>
      </c>
      <c r="D56">
        <v>1.4000000432133675E-2</v>
      </c>
      <c r="E56">
        <v>15</v>
      </c>
      <c r="F56">
        <v>1.4000000432133675E-2</v>
      </c>
      <c r="G56">
        <v>15</v>
      </c>
      <c r="H56">
        <v>1.3000000268220901E-2</v>
      </c>
      <c r="I56">
        <v>15</v>
      </c>
      <c r="J56">
        <v>1.4000000432133675E-2</v>
      </c>
      <c r="K56">
        <v>15</v>
      </c>
      <c r="L56">
        <v>1.4999999664723873E-2</v>
      </c>
    </row>
    <row r="57" spans="2:12" x14ac:dyDescent="0.2">
      <c r="B57" t="s">
        <v>32</v>
      </c>
      <c r="C57">
        <v>97</v>
      </c>
      <c r="D57">
        <v>1.593999981880188</v>
      </c>
      <c r="E57">
        <v>98</v>
      </c>
      <c r="F57">
        <v>1.1150000095367432</v>
      </c>
      <c r="G57">
        <v>103</v>
      </c>
      <c r="H57">
        <v>1.659000039100647</v>
      </c>
      <c r="I57">
        <v>101</v>
      </c>
      <c r="J57">
        <v>0.97699999809265137</v>
      </c>
      <c r="K57">
        <v>100</v>
      </c>
      <c r="L57">
        <v>1.3359999656677246</v>
      </c>
    </row>
    <row r="58" spans="2:12" x14ac:dyDescent="0.2">
      <c r="B58" s="46" t="s">
        <v>300</v>
      </c>
      <c r="C58" s="46"/>
      <c r="D58" s="46"/>
      <c r="E58" s="46"/>
      <c r="F58" s="46"/>
      <c r="G58" s="46"/>
      <c r="H58" s="46"/>
      <c r="I58" s="46"/>
      <c r="J58" s="46"/>
      <c r="K58" s="46"/>
      <c r="L58" s="46"/>
    </row>
    <row r="59" spans="2:12" x14ac:dyDescent="0.2">
      <c r="B59" t="s">
        <v>5</v>
      </c>
      <c r="C59" t="s">
        <v>256</v>
      </c>
      <c r="D59" t="s">
        <v>257</v>
      </c>
      <c r="E59" t="s">
        <v>258</v>
      </c>
      <c r="F59" t="s">
        <v>259</v>
      </c>
      <c r="G59" t="s">
        <v>260</v>
      </c>
      <c r="H59" t="s">
        <v>261</v>
      </c>
      <c r="I59" t="s">
        <v>262</v>
      </c>
      <c r="J59" t="s">
        <v>263</v>
      </c>
      <c r="K59" t="s">
        <v>264</v>
      </c>
      <c r="L59" t="s">
        <v>265</v>
      </c>
    </row>
    <row r="60" spans="2:12" x14ac:dyDescent="0.2">
      <c r="B60" t="s">
        <v>6</v>
      </c>
      <c r="C60">
        <v>535</v>
      </c>
      <c r="D60">
        <v>0.90200001001358032</v>
      </c>
      <c r="E60">
        <v>532</v>
      </c>
      <c r="F60">
        <v>0.98600000143051147</v>
      </c>
      <c r="G60">
        <v>532</v>
      </c>
      <c r="H60">
        <v>1.3489999771118164</v>
      </c>
      <c r="I60">
        <v>533</v>
      </c>
      <c r="J60">
        <v>0.93800002336502075</v>
      </c>
      <c r="K60">
        <v>535</v>
      </c>
      <c r="L60">
        <v>1.0959999561309814</v>
      </c>
    </row>
    <row r="61" spans="2:12" x14ac:dyDescent="0.2">
      <c r="B61" t="s">
        <v>7</v>
      </c>
      <c r="C61">
        <v>161</v>
      </c>
      <c r="D61">
        <v>0.25099998712539673</v>
      </c>
      <c r="E61">
        <v>162</v>
      </c>
      <c r="F61">
        <v>0.20100000500679016</v>
      </c>
      <c r="G61">
        <v>160</v>
      </c>
      <c r="H61">
        <v>0.24400000274181366</v>
      </c>
      <c r="I61">
        <v>160</v>
      </c>
      <c r="J61">
        <v>0.20900000631809235</v>
      </c>
      <c r="K61">
        <v>159</v>
      </c>
      <c r="L61">
        <v>0.35400000214576721</v>
      </c>
    </row>
    <row r="62" spans="2:12" x14ac:dyDescent="0.2">
      <c r="B62" t="s">
        <v>8</v>
      </c>
      <c r="C62">
        <v>181</v>
      </c>
      <c r="D62">
        <v>0.40299999713897705</v>
      </c>
      <c r="E62">
        <v>180</v>
      </c>
      <c r="F62">
        <v>0.30099999904632568</v>
      </c>
      <c r="G62">
        <v>180</v>
      </c>
      <c r="H62">
        <v>0.36700001358985901</v>
      </c>
      <c r="I62">
        <v>182</v>
      </c>
      <c r="J62">
        <v>0.56599998474121094</v>
      </c>
      <c r="K62">
        <v>180</v>
      </c>
      <c r="L62">
        <v>0.35100001096725464</v>
      </c>
    </row>
    <row r="63" spans="2:12" x14ac:dyDescent="0.2">
      <c r="B63" t="s">
        <v>9</v>
      </c>
      <c r="C63">
        <v>18</v>
      </c>
      <c r="D63">
        <v>1.4999999664723873E-2</v>
      </c>
      <c r="E63">
        <v>18</v>
      </c>
      <c r="F63">
        <v>1.6000000759959221E-2</v>
      </c>
      <c r="G63">
        <v>18</v>
      </c>
      <c r="H63">
        <v>1.4999999664723873E-2</v>
      </c>
      <c r="I63">
        <v>18</v>
      </c>
      <c r="J63">
        <v>1.4000000432133675E-2</v>
      </c>
      <c r="K63">
        <v>18</v>
      </c>
      <c r="L63">
        <v>1.8999999389052391E-2</v>
      </c>
    </row>
    <row r="64" spans="2:12" x14ac:dyDescent="0.2">
      <c r="B64" t="s">
        <v>10</v>
      </c>
      <c r="C64">
        <v>335</v>
      </c>
      <c r="D64">
        <v>16.055000305175781</v>
      </c>
      <c r="E64">
        <v>332</v>
      </c>
      <c r="F64">
        <v>18.858999252319336</v>
      </c>
      <c r="G64">
        <v>334</v>
      </c>
      <c r="H64">
        <v>9.7010002136230469</v>
      </c>
      <c r="I64">
        <v>333</v>
      </c>
      <c r="J64">
        <v>13.859999656677246</v>
      </c>
      <c r="K64">
        <v>333</v>
      </c>
      <c r="L64">
        <v>18.724000930786133</v>
      </c>
    </row>
    <row r="65" spans="2:12" x14ac:dyDescent="0.2">
      <c r="B65" t="s">
        <v>11</v>
      </c>
      <c r="C65">
        <v>57</v>
      </c>
      <c r="D65">
        <v>8.7999999523162842E-2</v>
      </c>
      <c r="E65">
        <v>57</v>
      </c>
      <c r="F65">
        <v>7.9999998211860657E-2</v>
      </c>
      <c r="G65">
        <v>57</v>
      </c>
      <c r="H65">
        <v>8.9000001549720764E-2</v>
      </c>
      <c r="I65">
        <v>57</v>
      </c>
      <c r="J65">
        <v>8.2999996840953827E-2</v>
      </c>
      <c r="K65">
        <v>57</v>
      </c>
      <c r="L65">
        <v>7.8000001609325409E-2</v>
      </c>
    </row>
    <row r="66" spans="2:12" x14ac:dyDescent="0.2">
      <c r="B66" t="s">
        <v>12</v>
      </c>
      <c r="C66">
        <v>26</v>
      </c>
      <c r="D66">
        <v>5.6669998168945312</v>
      </c>
      <c r="E66">
        <v>26</v>
      </c>
      <c r="F66">
        <v>5.7170000076293945</v>
      </c>
      <c r="G66">
        <v>26</v>
      </c>
      <c r="H66">
        <v>5.5799999237060547</v>
      </c>
      <c r="I66">
        <v>26</v>
      </c>
      <c r="J66">
        <v>5.7160000801086426</v>
      </c>
      <c r="K66">
        <v>26</v>
      </c>
      <c r="L66">
        <v>5.7350001335144043</v>
      </c>
    </row>
    <row r="67" spans="2:12" x14ac:dyDescent="0.2">
      <c r="B67" t="s">
        <v>13</v>
      </c>
      <c r="C67">
        <v>296</v>
      </c>
      <c r="D67">
        <v>19.068000793457031</v>
      </c>
      <c r="E67">
        <v>296</v>
      </c>
      <c r="F67">
        <v>19.23699951171875</v>
      </c>
      <c r="G67">
        <v>296</v>
      </c>
      <c r="H67">
        <v>18.996000289916992</v>
      </c>
      <c r="I67">
        <v>290</v>
      </c>
      <c r="J67">
        <v>42.758998870849609</v>
      </c>
      <c r="K67">
        <v>296</v>
      </c>
      <c r="L67">
        <v>32.243000030517578</v>
      </c>
    </row>
    <row r="68" spans="2:12" x14ac:dyDescent="0.2">
      <c r="B68" t="s">
        <v>14</v>
      </c>
      <c r="C68">
        <v>149</v>
      </c>
      <c r="D68">
        <v>0.50499999523162842</v>
      </c>
      <c r="E68">
        <v>150</v>
      </c>
      <c r="F68">
        <v>0.5350000262260437</v>
      </c>
      <c r="G68">
        <v>148</v>
      </c>
      <c r="H68">
        <v>0.92599999904632568</v>
      </c>
      <c r="I68">
        <v>151</v>
      </c>
      <c r="J68">
        <v>0.73199999332427979</v>
      </c>
      <c r="K68">
        <v>150</v>
      </c>
      <c r="L68">
        <v>0.67000001668930054</v>
      </c>
    </row>
    <row r="69" spans="2:12" x14ac:dyDescent="0.2">
      <c r="B69" t="s">
        <v>15</v>
      </c>
      <c r="C69">
        <v>44</v>
      </c>
      <c r="D69">
        <v>4.0000001899898052E-3</v>
      </c>
      <c r="E69">
        <v>45</v>
      </c>
      <c r="F69">
        <v>6.0000000521540642E-3</v>
      </c>
      <c r="G69">
        <v>43</v>
      </c>
      <c r="H69">
        <v>4.999999888241291E-3</v>
      </c>
      <c r="I69">
        <v>44</v>
      </c>
      <c r="J69">
        <v>6.0000000521540642E-3</v>
      </c>
      <c r="K69">
        <v>44</v>
      </c>
      <c r="L69">
        <v>4.0000001899898052E-3</v>
      </c>
    </row>
    <row r="70" spans="2:12" x14ac:dyDescent="0.2">
      <c r="B70" t="s">
        <v>16</v>
      </c>
      <c r="C70">
        <v>18</v>
      </c>
      <c r="D70">
        <v>9.9320001602172852</v>
      </c>
      <c r="E70">
        <v>18</v>
      </c>
      <c r="F70">
        <v>9.9139995574951172</v>
      </c>
      <c r="G70">
        <v>18</v>
      </c>
      <c r="H70">
        <v>10.303000450134277</v>
      </c>
      <c r="I70">
        <v>18</v>
      </c>
      <c r="J70">
        <v>10.437000274658203</v>
      </c>
      <c r="K70">
        <v>18</v>
      </c>
      <c r="L70">
        <v>10.105999946594238</v>
      </c>
    </row>
    <row r="71" spans="2:12" x14ac:dyDescent="0.2">
      <c r="B71" t="s">
        <v>17</v>
      </c>
      <c r="C71">
        <v>3</v>
      </c>
      <c r="D71">
        <v>12.550000190734863</v>
      </c>
      <c r="E71">
        <v>3</v>
      </c>
      <c r="F71">
        <v>11.088000297546387</v>
      </c>
      <c r="G71">
        <v>3</v>
      </c>
      <c r="H71">
        <v>10.833999633789062</v>
      </c>
      <c r="I71">
        <v>3</v>
      </c>
      <c r="J71">
        <v>11.414999961853027</v>
      </c>
      <c r="K71">
        <v>3</v>
      </c>
      <c r="L71">
        <v>10.973999977111816</v>
      </c>
    </row>
    <row r="72" spans="2:12" x14ac:dyDescent="0.2">
      <c r="B72" t="s">
        <v>18</v>
      </c>
      <c r="C72">
        <v>59</v>
      </c>
      <c r="D72">
        <v>0.19099999964237213</v>
      </c>
      <c r="E72">
        <v>59</v>
      </c>
      <c r="F72">
        <v>0.18400000035762787</v>
      </c>
      <c r="G72">
        <v>59</v>
      </c>
      <c r="H72">
        <v>0.18700000643730164</v>
      </c>
      <c r="I72">
        <v>59</v>
      </c>
      <c r="J72">
        <v>0.19099999964237213</v>
      </c>
      <c r="K72">
        <v>59</v>
      </c>
      <c r="L72">
        <v>0.17399999499320984</v>
      </c>
    </row>
    <row r="73" spans="2:12" x14ac:dyDescent="0.2">
      <c r="B73" t="s">
        <v>19</v>
      </c>
      <c r="C73">
        <v>321</v>
      </c>
      <c r="D73">
        <v>2.4679999351501465</v>
      </c>
      <c r="E73">
        <v>326</v>
      </c>
      <c r="F73">
        <v>1.7949999570846558</v>
      </c>
      <c r="G73">
        <v>318</v>
      </c>
      <c r="H73">
        <v>2.250999927520752</v>
      </c>
      <c r="I73">
        <v>321</v>
      </c>
      <c r="J73">
        <v>2.375999927520752</v>
      </c>
      <c r="K73">
        <v>312</v>
      </c>
      <c r="L73">
        <v>1.6100000143051147</v>
      </c>
    </row>
    <row r="74" spans="2:12" x14ac:dyDescent="0.2">
      <c r="B74" t="s">
        <v>20</v>
      </c>
      <c r="C74">
        <v>518</v>
      </c>
      <c r="D74">
        <v>22.854000091552734</v>
      </c>
      <c r="E74">
        <v>514</v>
      </c>
      <c r="F74">
        <v>26.722000122070312</v>
      </c>
      <c r="G74">
        <v>517</v>
      </c>
      <c r="H74">
        <v>20.972999572753906</v>
      </c>
      <c r="I74">
        <v>519</v>
      </c>
      <c r="J74">
        <v>20.174999237060547</v>
      </c>
      <c r="K74">
        <v>514</v>
      </c>
      <c r="L74">
        <v>18.86400032043457</v>
      </c>
    </row>
    <row r="75" spans="2:12" x14ac:dyDescent="0.2">
      <c r="B75" t="s">
        <v>21</v>
      </c>
      <c r="C75">
        <v>108</v>
      </c>
      <c r="D75">
        <v>23.533000946044922</v>
      </c>
      <c r="E75">
        <v>106</v>
      </c>
      <c r="F75">
        <v>21.541999816894531</v>
      </c>
      <c r="G75">
        <v>112</v>
      </c>
      <c r="H75">
        <v>15.336999893188477</v>
      </c>
      <c r="I75">
        <v>102</v>
      </c>
      <c r="J75">
        <v>19.000999450683594</v>
      </c>
      <c r="K75">
        <v>110</v>
      </c>
      <c r="L75">
        <v>14.390000343322754</v>
      </c>
    </row>
    <row r="76" spans="2:12" x14ac:dyDescent="0.2">
      <c r="B76" t="s">
        <v>22</v>
      </c>
      <c r="C76">
        <v>19</v>
      </c>
      <c r="D76">
        <v>4.999999888241291E-3</v>
      </c>
      <c r="E76">
        <v>20</v>
      </c>
      <c r="F76">
        <v>7.0000002160668373E-3</v>
      </c>
      <c r="G76">
        <v>19</v>
      </c>
      <c r="H76">
        <v>4.999999888241291E-3</v>
      </c>
      <c r="I76">
        <v>20</v>
      </c>
      <c r="J76">
        <v>6.0000000521540642E-3</v>
      </c>
      <c r="K76">
        <v>19</v>
      </c>
      <c r="L76">
        <v>8.999999612569809E-3</v>
      </c>
    </row>
    <row r="77" spans="2:12" x14ac:dyDescent="0.2">
      <c r="B77" t="s">
        <v>23</v>
      </c>
      <c r="C77">
        <v>39</v>
      </c>
      <c r="D77">
        <v>3.4219999313354492</v>
      </c>
      <c r="E77">
        <v>39</v>
      </c>
      <c r="F77">
        <v>3.0190000534057617</v>
      </c>
      <c r="G77">
        <v>39</v>
      </c>
      <c r="H77">
        <v>2.8250000476837158</v>
      </c>
      <c r="I77">
        <v>39</v>
      </c>
      <c r="J77">
        <v>2.8559999465942383</v>
      </c>
      <c r="K77">
        <v>39</v>
      </c>
      <c r="L77">
        <v>2.8789999485015869</v>
      </c>
    </row>
    <row r="78" spans="2:12" x14ac:dyDescent="0.2">
      <c r="B78" t="s">
        <v>24</v>
      </c>
      <c r="C78">
        <v>194</v>
      </c>
      <c r="D78">
        <v>1.0149999856948853</v>
      </c>
      <c r="E78">
        <v>193</v>
      </c>
      <c r="F78">
        <v>1.5449999570846558</v>
      </c>
      <c r="G78">
        <v>196</v>
      </c>
      <c r="H78">
        <v>0.71299999952316284</v>
      </c>
      <c r="I78">
        <v>195</v>
      </c>
      <c r="J78">
        <v>0.70999997854232788</v>
      </c>
      <c r="K78">
        <v>193</v>
      </c>
      <c r="L78">
        <v>1.4670000076293945</v>
      </c>
    </row>
    <row r="79" spans="2:12" x14ac:dyDescent="0.2">
      <c r="B79" t="s">
        <v>25</v>
      </c>
      <c r="C79">
        <v>505</v>
      </c>
      <c r="D79">
        <v>2.5889999866485596</v>
      </c>
      <c r="E79">
        <v>499</v>
      </c>
      <c r="F79">
        <v>4.5409998893737793</v>
      </c>
      <c r="G79">
        <v>507</v>
      </c>
      <c r="H79">
        <v>3.9749999046325684</v>
      </c>
      <c r="I79">
        <v>512</v>
      </c>
      <c r="J79">
        <v>3.8220000267028809</v>
      </c>
      <c r="K79">
        <v>497</v>
      </c>
      <c r="L79">
        <v>2.4219999313354492</v>
      </c>
    </row>
    <row r="80" spans="2:12" x14ac:dyDescent="0.2">
      <c r="B80" t="s">
        <v>26</v>
      </c>
      <c r="C80">
        <v>94</v>
      </c>
      <c r="D80">
        <v>0.10400000214576721</v>
      </c>
      <c r="E80">
        <v>94</v>
      </c>
      <c r="F80">
        <v>9.0999998152256012E-2</v>
      </c>
      <c r="G80">
        <v>94</v>
      </c>
      <c r="H80">
        <v>0.10499999672174454</v>
      </c>
      <c r="I80">
        <v>94</v>
      </c>
      <c r="J80">
        <v>0.10199999809265137</v>
      </c>
      <c r="K80">
        <v>94</v>
      </c>
      <c r="L80">
        <v>0.10000000149011612</v>
      </c>
    </row>
    <row r="81" spans="2:12" x14ac:dyDescent="0.2">
      <c r="B81" t="s">
        <v>27</v>
      </c>
      <c r="C81">
        <v>136</v>
      </c>
      <c r="D81">
        <v>0.16300000250339508</v>
      </c>
      <c r="E81">
        <v>136</v>
      </c>
      <c r="F81">
        <v>0.27000001072883606</v>
      </c>
      <c r="G81">
        <v>136</v>
      </c>
      <c r="H81">
        <v>0.14100000262260437</v>
      </c>
      <c r="I81">
        <v>138</v>
      </c>
      <c r="J81">
        <v>0.15600000321865082</v>
      </c>
      <c r="K81">
        <v>137</v>
      </c>
      <c r="L81">
        <v>0.30199998617172241</v>
      </c>
    </row>
    <row r="82" spans="2:12" x14ac:dyDescent="0.2">
      <c r="B82" t="s">
        <v>28</v>
      </c>
      <c r="C82">
        <v>35</v>
      </c>
      <c r="D82">
        <v>0.78100001811981201</v>
      </c>
      <c r="E82">
        <v>35</v>
      </c>
      <c r="F82">
        <v>0.62999999523162842</v>
      </c>
      <c r="G82">
        <v>35</v>
      </c>
      <c r="H82">
        <v>0.59700000286102295</v>
      </c>
      <c r="I82">
        <v>36</v>
      </c>
      <c r="J82">
        <v>0.58300000429153442</v>
      </c>
      <c r="K82">
        <v>35</v>
      </c>
      <c r="L82">
        <v>0.65700000524520874</v>
      </c>
    </row>
    <row r="83" spans="2:12" x14ac:dyDescent="0.2">
      <c r="B83" t="s">
        <v>29</v>
      </c>
      <c r="C83">
        <v>66</v>
      </c>
      <c r="D83">
        <v>1.8999999389052391E-2</v>
      </c>
      <c r="E83">
        <v>64</v>
      </c>
      <c r="F83">
        <v>2.3000000044703484E-2</v>
      </c>
      <c r="G83">
        <v>65</v>
      </c>
      <c r="H83">
        <v>2.4000000208616257E-2</v>
      </c>
      <c r="I83">
        <v>65</v>
      </c>
      <c r="J83">
        <v>2.4000000208616257E-2</v>
      </c>
      <c r="K83">
        <v>61</v>
      </c>
      <c r="L83">
        <v>2.7000000700354576E-2</v>
      </c>
    </row>
    <row r="84" spans="2:12" x14ac:dyDescent="0.2">
      <c r="B84" t="s">
        <v>30</v>
      </c>
      <c r="C84">
        <v>11</v>
      </c>
      <c r="D84">
        <v>1.7999999225139618E-2</v>
      </c>
      <c r="E84">
        <v>11</v>
      </c>
      <c r="F84">
        <v>1.7999999225139618E-2</v>
      </c>
      <c r="G84">
        <v>11</v>
      </c>
      <c r="H84">
        <v>1.8999999389052391E-2</v>
      </c>
      <c r="I84">
        <v>11</v>
      </c>
      <c r="J84">
        <v>1.7999999225139618E-2</v>
      </c>
      <c r="K84">
        <v>11</v>
      </c>
      <c r="L84">
        <v>2.0999999716877937E-2</v>
      </c>
    </row>
    <row r="85" spans="2:12" x14ac:dyDescent="0.2">
      <c r="B85" t="s">
        <v>32</v>
      </c>
      <c r="C85">
        <v>92</v>
      </c>
      <c r="D85">
        <v>0.37799999117851257</v>
      </c>
      <c r="E85">
        <v>92</v>
      </c>
      <c r="F85">
        <v>0.20000000298023224</v>
      </c>
      <c r="G85">
        <v>98</v>
      </c>
      <c r="H85">
        <v>0.14200000464916229</v>
      </c>
      <c r="I85">
        <v>94</v>
      </c>
      <c r="J85">
        <v>0.37999999523162842</v>
      </c>
      <c r="K85">
        <v>94</v>
      </c>
      <c r="L85">
        <v>0.28099998831748962</v>
      </c>
    </row>
    <row r="86" spans="2:12" x14ac:dyDescent="0.2">
      <c r="B86" s="46" t="s">
        <v>301</v>
      </c>
      <c r="C86" s="46"/>
      <c r="D86" s="46"/>
      <c r="E86" s="46"/>
      <c r="F86" s="46"/>
      <c r="G86" s="46"/>
      <c r="H86" s="46"/>
      <c r="I86" s="46"/>
      <c r="J86" s="46"/>
      <c r="K86" s="46"/>
      <c r="L86" s="46"/>
    </row>
    <row r="87" spans="2:12" x14ac:dyDescent="0.2">
      <c r="B87" t="s">
        <v>5</v>
      </c>
      <c r="C87" t="s">
        <v>256</v>
      </c>
      <c r="D87" t="s">
        <v>257</v>
      </c>
      <c r="E87" t="s">
        <v>258</v>
      </c>
      <c r="F87" t="s">
        <v>259</v>
      </c>
      <c r="G87" t="s">
        <v>260</v>
      </c>
      <c r="H87" t="s">
        <v>261</v>
      </c>
      <c r="I87" t="s">
        <v>262</v>
      </c>
      <c r="J87" t="s">
        <v>263</v>
      </c>
      <c r="K87" t="s">
        <v>264</v>
      </c>
      <c r="L87" t="s">
        <v>265</v>
      </c>
    </row>
    <row r="88" spans="2:12" x14ac:dyDescent="0.2">
      <c r="B88" t="s">
        <v>6</v>
      </c>
      <c r="C88">
        <v>533</v>
      </c>
      <c r="D88">
        <v>1.8650000095367432</v>
      </c>
      <c r="E88">
        <v>535</v>
      </c>
      <c r="F88">
        <v>3.0789999961853027</v>
      </c>
      <c r="G88">
        <v>535</v>
      </c>
      <c r="H88">
        <v>2.4609999656677246</v>
      </c>
      <c r="I88">
        <v>534</v>
      </c>
      <c r="J88">
        <v>1.5679999589920044</v>
      </c>
      <c r="K88">
        <v>533</v>
      </c>
      <c r="L88">
        <v>2.6180000305175781</v>
      </c>
    </row>
    <row r="89" spans="2:12" x14ac:dyDescent="0.2">
      <c r="B89" t="s">
        <v>7</v>
      </c>
      <c r="C89">
        <v>160</v>
      </c>
      <c r="D89">
        <v>0.289000004529953</v>
      </c>
      <c r="E89">
        <v>160</v>
      </c>
      <c r="F89">
        <v>0.40000000596046448</v>
      </c>
      <c r="G89">
        <v>160</v>
      </c>
      <c r="H89">
        <v>0.26100000739097595</v>
      </c>
      <c r="I89">
        <v>159</v>
      </c>
      <c r="J89">
        <v>0.58899998664855957</v>
      </c>
      <c r="K89">
        <v>160</v>
      </c>
      <c r="L89">
        <v>0.30099999904632568</v>
      </c>
    </row>
    <row r="90" spans="2:12" x14ac:dyDescent="0.2">
      <c r="B90" t="s">
        <v>8</v>
      </c>
      <c r="C90">
        <v>180</v>
      </c>
      <c r="D90">
        <v>0.85000002384185791</v>
      </c>
      <c r="E90">
        <v>180</v>
      </c>
      <c r="F90">
        <v>1.0829999446868896</v>
      </c>
      <c r="G90">
        <v>180</v>
      </c>
      <c r="H90">
        <v>0.73000001907348633</v>
      </c>
      <c r="I90">
        <v>181</v>
      </c>
      <c r="J90">
        <v>0.69300001859664917</v>
      </c>
      <c r="K90">
        <v>182</v>
      </c>
      <c r="L90">
        <v>0.83399999141693115</v>
      </c>
    </row>
    <row r="91" spans="2:12" x14ac:dyDescent="0.2">
      <c r="B91" t="s">
        <v>9</v>
      </c>
      <c r="C91">
        <v>18</v>
      </c>
      <c r="D91">
        <v>1.7000000923871994E-2</v>
      </c>
      <c r="E91">
        <v>18</v>
      </c>
      <c r="F91">
        <v>3.2999999821186066E-2</v>
      </c>
      <c r="G91">
        <v>18</v>
      </c>
      <c r="H91">
        <v>1.7000000923871994E-2</v>
      </c>
      <c r="I91">
        <v>18</v>
      </c>
      <c r="J91">
        <v>1.8999999389052391E-2</v>
      </c>
      <c r="K91">
        <v>18</v>
      </c>
      <c r="L91">
        <v>1.7999999225139618E-2</v>
      </c>
    </row>
    <row r="92" spans="2:12" x14ac:dyDescent="0.2">
      <c r="B92" t="s">
        <v>10</v>
      </c>
      <c r="C92">
        <v>332</v>
      </c>
      <c r="D92">
        <v>24.125999450683594</v>
      </c>
      <c r="E92">
        <v>333</v>
      </c>
      <c r="F92">
        <v>22.547000885009766</v>
      </c>
      <c r="G92">
        <v>336</v>
      </c>
      <c r="H92">
        <v>16.666000366210938</v>
      </c>
      <c r="I92">
        <v>333</v>
      </c>
      <c r="J92">
        <v>25.465999603271484</v>
      </c>
      <c r="K92">
        <v>333</v>
      </c>
      <c r="L92">
        <v>26.77400016784668</v>
      </c>
    </row>
    <row r="93" spans="2:12" x14ac:dyDescent="0.2">
      <c r="B93" t="s">
        <v>11</v>
      </c>
      <c r="C93">
        <v>57</v>
      </c>
      <c r="D93">
        <v>9.3000002205371857E-2</v>
      </c>
      <c r="E93">
        <v>57</v>
      </c>
      <c r="F93">
        <v>9.4999998807907104E-2</v>
      </c>
      <c r="G93">
        <v>57</v>
      </c>
      <c r="H93">
        <v>8.9000001549720764E-2</v>
      </c>
      <c r="I93">
        <v>57</v>
      </c>
      <c r="J93">
        <v>9.7000002861022949E-2</v>
      </c>
      <c r="K93">
        <v>57</v>
      </c>
      <c r="L93">
        <v>9.2000000178813934E-2</v>
      </c>
    </row>
    <row r="94" spans="2:12" x14ac:dyDescent="0.2">
      <c r="B94" t="s">
        <v>12</v>
      </c>
      <c r="C94">
        <v>26</v>
      </c>
      <c r="D94">
        <v>7.0130000114440918</v>
      </c>
      <c r="E94">
        <v>26</v>
      </c>
      <c r="F94">
        <v>6.8540000915527344</v>
      </c>
      <c r="G94">
        <v>26</v>
      </c>
      <c r="H94">
        <v>6.9869999885559082</v>
      </c>
      <c r="I94">
        <v>26</v>
      </c>
      <c r="J94">
        <v>6.9250001907348633</v>
      </c>
      <c r="K94">
        <v>26</v>
      </c>
      <c r="L94">
        <v>6.809999942779541</v>
      </c>
    </row>
    <row r="95" spans="2:12" x14ac:dyDescent="0.2">
      <c r="B95" t="s">
        <v>13</v>
      </c>
      <c r="C95">
        <v>295</v>
      </c>
      <c r="D95">
        <v>61.562000274658203</v>
      </c>
      <c r="E95">
        <v>296</v>
      </c>
      <c r="F95">
        <v>45.845001220703125</v>
      </c>
      <c r="G95">
        <v>301</v>
      </c>
      <c r="H95">
        <v>48.476001739501953</v>
      </c>
      <c r="I95">
        <v>300</v>
      </c>
      <c r="J95">
        <v>32.845001220703125</v>
      </c>
      <c r="K95">
        <v>296</v>
      </c>
      <c r="L95">
        <v>38.502998352050781</v>
      </c>
    </row>
    <row r="96" spans="2:12" x14ac:dyDescent="0.2">
      <c r="B96" t="s">
        <v>14</v>
      </c>
      <c r="C96">
        <v>149</v>
      </c>
      <c r="D96">
        <v>1.2259999513626099</v>
      </c>
      <c r="E96">
        <v>149</v>
      </c>
      <c r="F96">
        <v>0.80199998617172241</v>
      </c>
      <c r="G96">
        <v>152</v>
      </c>
      <c r="H96">
        <v>0.73100000619888306</v>
      </c>
      <c r="I96">
        <v>151</v>
      </c>
      <c r="J96">
        <v>0.70499998331069946</v>
      </c>
      <c r="K96">
        <v>150</v>
      </c>
      <c r="L96">
        <v>1.128000020980835</v>
      </c>
    </row>
    <row r="97" spans="2:12" x14ac:dyDescent="0.2">
      <c r="B97" t="s">
        <v>15</v>
      </c>
      <c r="C97">
        <v>43</v>
      </c>
      <c r="D97">
        <v>1.3000000268220901E-2</v>
      </c>
      <c r="E97">
        <v>44</v>
      </c>
      <c r="F97">
        <v>7.0000002160668373E-3</v>
      </c>
      <c r="G97">
        <v>44</v>
      </c>
      <c r="H97">
        <v>7.0000002160668373E-3</v>
      </c>
      <c r="I97">
        <v>43</v>
      </c>
      <c r="J97">
        <v>8.999999612569809E-3</v>
      </c>
      <c r="K97">
        <v>44</v>
      </c>
      <c r="L97">
        <v>7.0000002160668373E-3</v>
      </c>
    </row>
    <row r="98" spans="2:12" x14ac:dyDescent="0.2">
      <c r="B98" t="s">
        <v>16</v>
      </c>
      <c r="C98">
        <v>18</v>
      </c>
      <c r="D98">
        <v>13.065999984741211</v>
      </c>
      <c r="E98">
        <v>18</v>
      </c>
      <c r="F98">
        <v>12.932999610900879</v>
      </c>
      <c r="G98">
        <v>18</v>
      </c>
      <c r="H98">
        <v>12.963000297546387</v>
      </c>
      <c r="I98">
        <v>18</v>
      </c>
      <c r="J98">
        <v>12.927000045776367</v>
      </c>
      <c r="K98">
        <v>18</v>
      </c>
      <c r="L98">
        <v>13.180999755859375</v>
      </c>
    </row>
    <row r="99" spans="2:12" x14ac:dyDescent="0.2">
      <c r="B99" t="s">
        <v>17</v>
      </c>
      <c r="C99">
        <v>3</v>
      </c>
      <c r="D99">
        <v>22.834999084472656</v>
      </c>
      <c r="E99">
        <v>3</v>
      </c>
      <c r="F99">
        <v>20.027000427246094</v>
      </c>
      <c r="G99">
        <v>3</v>
      </c>
      <c r="H99">
        <v>19.21299934387207</v>
      </c>
      <c r="I99">
        <v>3</v>
      </c>
      <c r="J99">
        <v>19.572000503540039</v>
      </c>
      <c r="K99">
        <v>3</v>
      </c>
      <c r="L99">
        <v>19.631000518798828</v>
      </c>
    </row>
    <row r="100" spans="2:12" x14ac:dyDescent="0.2">
      <c r="B100" t="s">
        <v>18</v>
      </c>
      <c r="C100">
        <v>59</v>
      </c>
      <c r="D100">
        <v>0.23999999463558197</v>
      </c>
      <c r="E100">
        <v>59</v>
      </c>
      <c r="F100">
        <v>0.24099999666213989</v>
      </c>
      <c r="G100">
        <v>59</v>
      </c>
      <c r="H100">
        <v>0.25099998712539673</v>
      </c>
      <c r="I100">
        <v>59</v>
      </c>
      <c r="J100">
        <v>0.24799999594688416</v>
      </c>
      <c r="K100">
        <v>59</v>
      </c>
      <c r="L100">
        <v>0.25099998712539673</v>
      </c>
    </row>
    <row r="101" spans="2:12" x14ac:dyDescent="0.2">
      <c r="B101" t="s">
        <v>19</v>
      </c>
      <c r="C101">
        <v>327</v>
      </c>
      <c r="D101">
        <v>3.3529999256134033</v>
      </c>
      <c r="E101">
        <v>330</v>
      </c>
      <c r="F101">
        <v>2.9800000190734863</v>
      </c>
      <c r="G101">
        <v>336</v>
      </c>
      <c r="H101">
        <v>4.5920000076293945</v>
      </c>
      <c r="I101">
        <v>324</v>
      </c>
      <c r="J101">
        <v>4.6710000038146973</v>
      </c>
      <c r="K101">
        <v>333</v>
      </c>
      <c r="L101">
        <v>2.2460000514984131</v>
      </c>
    </row>
    <row r="102" spans="2:12" x14ac:dyDescent="0.2">
      <c r="B102" t="s">
        <v>20</v>
      </c>
      <c r="C102">
        <v>548</v>
      </c>
      <c r="D102">
        <v>22.919000625610352</v>
      </c>
      <c r="E102">
        <v>526</v>
      </c>
      <c r="F102">
        <v>43.016998291015625</v>
      </c>
      <c r="G102">
        <v>525</v>
      </c>
      <c r="H102">
        <v>42.426998138427734</v>
      </c>
      <c r="I102">
        <v>537</v>
      </c>
      <c r="J102">
        <v>41.002998352050781</v>
      </c>
      <c r="K102">
        <v>535</v>
      </c>
      <c r="L102">
        <v>26.288999557495117</v>
      </c>
    </row>
    <row r="103" spans="2:12" x14ac:dyDescent="0.2">
      <c r="B103" t="s">
        <v>21</v>
      </c>
      <c r="C103">
        <v>102</v>
      </c>
      <c r="D103">
        <v>37.016998291015625</v>
      </c>
      <c r="E103">
        <v>100</v>
      </c>
      <c r="F103">
        <v>53.116001129150391</v>
      </c>
      <c r="G103">
        <v>104</v>
      </c>
      <c r="H103">
        <v>28.46299934387207</v>
      </c>
      <c r="I103">
        <v>100</v>
      </c>
      <c r="J103">
        <v>52.604999542236328</v>
      </c>
      <c r="K103">
        <v>106</v>
      </c>
      <c r="L103">
        <v>49.928001403808594</v>
      </c>
    </row>
    <row r="104" spans="2:12" x14ac:dyDescent="0.2">
      <c r="B104" t="s">
        <v>22</v>
      </c>
      <c r="C104">
        <v>19</v>
      </c>
      <c r="D104">
        <v>7.0000002160668373E-3</v>
      </c>
      <c r="E104">
        <v>19</v>
      </c>
      <c r="F104">
        <v>8.0000003799796104E-3</v>
      </c>
      <c r="G104">
        <v>19</v>
      </c>
      <c r="H104">
        <v>8.0000003799796104E-3</v>
      </c>
      <c r="I104">
        <v>19</v>
      </c>
      <c r="J104">
        <v>8.0000003799796104E-3</v>
      </c>
      <c r="K104">
        <v>19</v>
      </c>
      <c r="L104">
        <v>1.2000000104308128E-2</v>
      </c>
    </row>
    <row r="105" spans="2:12" x14ac:dyDescent="0.2">
      <c r="B105" t="s">
        <v>23</v>
      </c>
      <c r="C105">
        <v>39</v>
      </c>
      <c r="D105">
        <v>3.7829999923706055</v>
      </c>
      <c r="E105">
        <v>39</v>
      </c>
      <c r="F105">
        <v>3.3989999294281006</v>
      </c>
      <c r="G105">
        <v>39</v>
      </c>
      <c r="H105">
        <v>3.4089999198913574</v>
      </c>
      <c r="I105">
        <v>39</v>
      </c>
      <c r="J105">
        <v>3.4210000038146973</v>
      </c>
      <c r="K105">
        <v>39</v>
      </c>
      <c r="L105">
        <v>3.3139998912811279</v>
      </c>
    </row>
    <row r="106" spans="2:12" x14ac:dyDescent="0.2">
      <c r="B106" t="s">
        <v>24</v>
      </c>
      <c r="C106">
        <v>194</v>
      </c>
      <c r="D106">
        <v>1.3389999866485596</v>
      </c>
      <c r="E106">
        <v>191</v>
      </c>
      <c r="F106">
        <v>2.7780001163482666</v>
      </c>
      <c r="G106">
        <v>192</v>
      </c>
      <c r="H106">
        <v>1.3250000476837158</v>
      </c>
      <c r="I106">
        <v>194</v>
      </c>
      <c r="J106">
        <v>1.9750000238418579</v>
      </c>
      <c r="K106">
        <v>191</v>
      </c>
      <c r="L106">
        <v>3.5350000858306885</v>
      </c>
    </row>
    <row r="107" spans="2:12" x14ac:dyDescent="0.2">
      <c r="B107" t="s">
        <v>25</v>
      </c>
      <c r="C107">
        <v>521</v>
      </c>
      <c r="D107">
        <v>5.3410000801086426</v>
      </c>
      <c r="E107">
        <v>518</v>
      </c>
      <c r="F107">
        <v>2.9860000610351562</v>
      </c>
      <c r="G107">
        <v>520</v>
      </c>
      <c r="H107">
        <v>4.0029997825622559</v>
      </c>
      <c r="I107">
        <v>525</v>
      </c>
      <c r="J107">
        <v>2.2279999256134033</v>
      </c>
      <c r="K107">
        <v>516</v>
      </c>
      <c r="L107">
        <v>4.4109997749328613</v>
      </c>
    </row>
    <row r="108" spans="2:12" x14ac:dyDescent="0.2">
      <c r="B108" t="s">
        <v>26</v>
      </c>
      <c r="C108">
        <v>94</v>
      </c>
      <c r="D108">
        <v>0.15700000524520874</v>
      </c>
      <c r="E108">
        <v>94</v>
      </c>
      <c r="F108">
        <v>0.17000000178813934</v>
      </c>
      <c r="G108">
        <v>94</v>
      </c>
      <c r="H108">
        <v>0.15999999642372131</v>
      </c>
      <c r="I108">
        <v>94</v>
      </c>
      <c r="J108">
        <v>0.16200000047683716</v>
      </c>
      <c r="K108">
        <v>94</v>
      </c>
      <c r="L108">
        <v>0.15700000524520874</v>
      </c>
    </row>
    <row r="109" spans="2:12" x14ac:dyDescent="0.2">
      <c r="B109" t="s">
        <v>27</v>
      </c>
      <c r="C109">
        <v>137</v>
      </c>
      <c r="D109">
        <v>0.26199999451637268</v>
      </c>
      <c r="E109">
        <v>135</v>
      </c>
      <c r="F109">
        <v>0.22900000214576721</v>
      </c>
      <c r="G109">
        <v>136</v>
      </c>
      <c r="H109">
        <v>0.40000000596046448</v>
      </c>
      <c r="I109">
        <v>135</v>
      </c>
      <c r="J109">
        <v>0.48600000143051147</v>
      </c>
      <c r="K109">
        <v>136</v>
      </c>
      <c r="L109">
        <v>0.35400000214576721</v>
      </c>
    </row>
    <row r="110" spans="2:12" x14ac:dyDescent="0.2">
      <c r="B110" t="s">
        <v>28</v>
      </c>
      <c r="C110">
        <v>35</v>
      </c>
      <c r="D110">
        <v>0.9779999852180481</v>
      </c>
      <c r="E110">
        <v>35</v>
      </c>
      <c r="F110">
        <v>1.1759999990463257</v>
      </c>
      <c r="G110">
        <v>35</v>
      </c>
      <c r="H110">
        <v>1.059999942779541</v>
      </c>
      <c r="I110">
        <v>35</v>
      </c>
      <c r="J110">
        <v>0.90299999713897705</v>
      </c>
      <c r="K110">
        <v>35</v>
      </c>
      <c r="L110">
        <v>0.94599997997283936</v>
      </c>
    </row>
    <row r="111" spans="2:12" x14ac:dyDescent="0.2">
      <c r="B111" t="s">
        <v>29</v>
      </c>
      <c r="C111">
        <v>61</v>
      </c>
      <c r="D111">
        <v>4.1999999433755875E-2</v>
      </c>
      <c r="E111">
        <v>61</v>
      </c>
      <c r="F111">
        <v>6.7000001668930054E-2</v>
      </c>
      <c r="G111">
        <v>62</v>
      </c>
      <c r="H111">
        <v>5.9999998658895493E-2</v>
      </c>
      <c r="I111">
        <v>61</v>
      </c>
      <c r="J111">
        <v>3.9999999105930328E-2</v>
      </c>
      <c r="K111">
        <v>63</v>
      </c>
      <c r="L111">
        <v>5.0999999046325684E-2</v>
      </c>
    </row>
    <row r="112" spans="2:12" x14ac:dyDescent="0.2">
      <c r="B112" t="s">
        <v>30</v>
      </c>
      <c r="C112">
        <v>11</v>
      </c>
      <c r="D112">
        <v>2.3000000044703484E-2</v>
      </c>
      <c r="E112">
        <v>11</v>
      </c>
      <c r="F112">
        <v>2.199999988079071E-2</v>
      </c>
      <c r="G112">
        <v>11</v>
      </c>
      <c r="H112">
        <v>1.9999999552965164E-2</v>
      </c>
      <c r="I112">
        <v>11</v>
      </c>
      <c r="J112">
        <v>1.8999999389052391E-2</v>
      </c>
      <c r="K112">
        <v>11</v>
      </c>
      <c r="L112">
        <v>2.0999999716877937E-2</v>
      </c>
    </row>
    <row r="113" spans="2:12" x14ac:dyDescent="0.2">
      <c r="B113" t="s">
        <v>32</v>
      </c>
      <c r="C113">
        <v>92</v>
      </c>
      <c r="D113">
        <v>0.34400001168251038</v>
      </c>
      <c r="E113">
        <v>93</v>
      </c>
      <c r="F113">
        <v>0.28400000929832458</v>
      </c>
      <c r="G113">
        <v>94</v>
      </c>
      <c r="H113">
        <v>0.28299999237060547</v>
      </c>
      <c r="I113">
        <v>94</v>
      </c>
      <c r="J113">
        <v>0.19300000369548798</v>
      </c>
      <c r="K113">
        <v>90</v>
      </c>
      <c r="L113">
        <v>0.40700000524520874</v>
      </c>
    </row>
    <row r="114" spans="2:12" x14ac:dyDescent="0.2">
      <c r="B114" s="46" t="s">
        <v>302</v>
      </c>
      <c r="C114" s="46"/>
      <c r="D114" s="46"/>
      <c r="E114" s="46"/>
      <c r="F114" s="46"/>
      <c r="G114" s="46"/>
      <c r="H114" s="46"/>
      <c r="I114" s="46"/>
      <c r="J114" s="46"/>
      <c r="K114" s="46"/>
      <c r="L114" s="46"/>
    </row>
    <row r="115" spans="2:12" x14ac:dyDescent="0.2">
      <c r="B115" t="s">
        <v>5</v>
      </c>
      <c r="C115" t="s">
        <v>256</v>
      </c>
      <c r="D115" t="s">
        <v>257</v>
      </c>
      <c r="E115" t="s">
        <v>258</v>
      </c>
      <c r="F115" t="s">
        <v>259</v>
      </c>
      <c r="G115" t="s">
        <v>260</v>
      </c>
      <c r="H115" t="s">
        <v>261</v>
      </c>
      <c r="I115" t="s">
        <v>262</v>
      </c>
      <c r="J115" t="s">
        <v>263</v>
      </c>
      <c r="K115" t="s">
        <v>264</v>
      </c>
      <c r="L115" t="s">
        <v>265</v>
      </c>
    </row>
    <row r="116" spans="2:12" x14ac:dyDescent="0.2">
      <c r="B116" t="s">
        <v>6</v>
      </c>
      <c r="C116">
        <v>531</v>
      </c>
      <c r="D116">
        <v>2.2929999828338623</v>
      </c>
      <c r="E116">
        <v>535</v>
      </c>
      <c r="F116">
        <v>1.2869999408721924</v>
      </c>
      <c r="G116">
        <v>533</v>
      </c>
      <c r="H116">
        <v>3.0160000324249268</v>
      </c>
      <c r="I116">
        <v>537</v>
      </c>
      <c r="J116">
        <v>1.2130000591278076</v>
      </c>
      <c r="K116">
        <v>535</v>
      </c>
      <c r="L116">
        <v>1.1059999465942383</v>
      </c>
    </row>
    <row r="117" spans="2:12" x14ac:dyDescent="0.2">
      <c r="B117" t="s">
        <v>7</v>
      </c>
      <c r="C117">
        <v>160</v>
      </c>
      <c r="D117">
        <v>0.414000004529953</v>
      </c>
      <c r="E117">
        <v>160</v>
      </c>
      <c r="F117">
        <v>0.29499998688697815</v>
      </c>
      <c r="G117">
        <v>160</v>
      </c>
      <c r="H117">
        <v>0.33500000834465027</v>
      </c>
      <c r="I117">
        <v>161</v>
      </c>
      <c r="J117">
        <v>0.23800000548362732</v>
      </c>
      <c r="K117">
        <v>160</v>
      </c>
      <c r="L117">
        <v>0.23899999260902405</v>
      </c>
    </row>
    <row r="118" spans="2:12" x14ac:dyDescent="0.2">
      <c r="B118" t="s">
        <v>8</v>
      </c>
      <c r="C118">
        <v>180</v>
      </c>
      <c r="D118">
        <v>0.52899998426437378</v>
      </c>
      <c r="E118">
        <v>180</v>
      </c>
      <c r="F118">
        <v>0.67299997806549072</v>
      </c>
      <c r="G118">
        <v>181</v>
      </c>
      <c r="H118">
        <v>0.5</v>
      </c>
      <c r="I118">
        <v>180</v>
      </c>
      <c r="J118">
        <v>0.50900000333786011</v>
      </c>
      <c r="K118">
        <v>180</v>
      </c>
      <c r="L118">
        <v>0.6470000147819519</v>
      </c>
    </row>
    <row r="119" spans="2:12" x14ac:dyDescent="0.2">
      <c r="B119" t="s">
        <v>9</v>
      </c>
      <c r="C119">
        <v>18</v>
      </c>
      <c r="D119">
        <v>2.7000000700354576E-2</v>
      </c>
      <c r="E119">
        <v>18</v>
      </c>
      <c r="F119">
        <v>1.9999999552965164E-2</v>
      </c>
      <c r="G119">
        <v>18</v>
      </c>
      <c r="H119">
        <v>1.7000000923871994E-2</v>
      </c>
      <c r="I119">
        <v>18</v>
      </c>
      <c r="J119">
        <v>2.500000037252903E-2</v>
      </c>
      <c r="K119">
        <v>18</v>
      </c>
      <c r="L119">
        <v>1.8999999389052391E-2</v>
      </c>
    </row>
    <row r="120" spans="2:12" x14ac:dyDescent="0.2">
      <c r="B120" t="s">
        <v>10</v>
      </c>
      <c r="C120">
        <v>330</v>
      </c>
      <c r="D120">
        <v>33.712001800537109</v>
      </c>
      <c r="E120">
        <v>331</v>
      </c>
      <c r="F120">
        <v>14.909999847412109</v>
      </c>
      <c r="G120">
        <v>335</v>
      </c>
      <c r="H120">
        <v>14.38700008392334</v>
      </c>
      <c r="I120">
        <v>334</v>
      </c>
      <c r="J120">
        <v>13.793999671936035</v>
      </c>
      <c r="K120">
        <v>335</v>
      </c>
      <c r="L120">
        <v>19.579999923706055</v>
      </c>
    </row>
    <row r="121" spans="2:12" x14ac:dyDescent="0.2">
      <c r="B121" t="s">
        <v>11</v>
      </c>
      <c r="C121">
        <v>57</v>
      </c>
      <c r="D121">
        <v>8.7999999523162842E-2</v>
      </c>
      <c r="E121">
        <v>57</v>
      </c>
      <c r="F121">
        <v>8.5000000894069672E-2</v>
      </c>
      <c r="G121">
        <v>57</v>
      </c>
      <c r="H121">
        <v>8.5000000894069672E-2</v>
      </c>
      <c r="I121">
        <v>57</v>
      </c>
      <c r="J121">
        <v>8.6000002920627594E-2</v>
      </c>
      <c r="K121">
        <v>57</v>
      </c>
      <c r="L121">
        <v>8.6999997496604919E-2</v>
      </c>
    </row>
    <row r="122" spans="2:12" x14ac:dyDescent="0.2">
      <c r="B122" t="s">
        <v>12</v>
      </c>
      <c r="C122">
        <v>26</v>
      </c>
      <c r="D122">
        <v>6.4600000381469727</v>
      </c>
      <c r="E122">
        <v>26</v>
      </c>
      <c r="F122">
        <v>6.4089999198913574</v>
      </c>
      <c r="G122">
        <v>26</v>
      </c>
      <c r="H122">
        <v>6.4920001029968262</v>
      </c>
      <c r="I122">
        <v>26</v>
      </c>
      <c r="J122">
        <v>6.4460000991821289</v>
      </c>
      <c r="K122">
        <v>26</v>
      </c>
      <c r="L122">
        <v>6.5159997940063477</v>
      </c>
    </row>
    <row r="123" spans="2:12" x14ac:dyDescent="0.2">
      <c r="B123" t="s">
        <v>13</v>
      </c>
      <c r="C123">
        <v>297</v>
      </c>
      <c r="D123">
        <v>27.347999572753906</v>
      </c>
      <c r="E123">
        <v>293</v>
      </c>
      <c r="F123">
        <v>46.044998168945312</v>
      </c>
      <c r="G123">
        <v>291</v>
      </c>
      <c r="H123">
        <v>39.904998779296875</v>
      </c>
      <c r="I123">
        <v>299</v>
      </c>
      <c r="J123">
        <v>24.420999526977539</v>
      </c>
      <c r="K123">
        <v>295</v>
      </c>
      <c r="L123">
        <v>28.663999557495117</v>
      </c>
    </row>
    <row r="124" spans="2:12" x14ac:dyDescent="0.2">
      <c r="B124" t="s">
        <v>14</v>
      </c>
      <c r="C124">
        <v>151</v>
      </c>
      <c r="D124">
        <v>0.68999999761581421</v>
      </c>
      <c r="E124">
        <v>150</v>
      </c>
      <c r="F124">
        <v>0.60600000619888306</v>
      </c>
      <c r="G124">
        <v>149</v>
      </c>
      <c r="H124">
        <v>0.62599998712539673</v>
      </c>
      <c r="I124">
        <v>150</v>
      </c>
      <c r="J124">
        <v>0.5690000057220459</v>
      </c>
      <c r="K124">
        <v>150</v>
      </c>
      <c r="L124">
        <v>1.1979999542236328</v>
      </c>
    </row>
    <row r="125" spans="2:12" x14ac:dyDescent="0.2">
      <c r="B125" t="s">
        <v>15</v>
      </c>
      <c r="C125">
        <v>43</v>
      </c>
      <c r="D125">
        <v>8.0000003799796104E-3</v>
      </c>
      <c r="E125">
        <v>43</v>
      </c>
      <c r="F125">
        <v>7.0000002160668373E-3</v>
      </c>
      <c r="G125">
        <v>44</v>
      </c>
      <c r="H125">
        <v>6.0000000521540642E-3</v>
      </c>
      <c r="I125">
        <v>44</v>
      </c>
      <c r="J125">
        <v>7.0000002160668373E-3</v>
      </c>
      <c r="K125">
        <v>44</v>
      </c>
      <c r="L125">
        <v>8.0000003799796104E-3</v>
      </c>
    </row>
    <row r="126" spans="2:12" x14ac:dyDescent="0.2">
      <c r="B126" t="s">
        <v>16</v>
      </c>
      <c r="C126">
        <v>18</v>
      </c>
      <c r="D126">
        <v>11.986000061035156</v>
      </c>
      <c r="E126">
        <v>18</v>
      </c>
      <c r="F126">
        <v>12.026000022888184</v>
      </c>
      <c r="G126">
        <v>18</v>
      </c>
      <c r="H126">
        <v>12.152999877929688</v>
      </c>
      <c r="I126">
        <v>18</v>
      </c>
      <c r="J126">
        <v>12.020000457763672</v>
      </c>
      <c r="K126">
        <v>18</v>
      </c>
      <c r="L126">
        <v>11.77400016784668</v>
      </c>
    </row>
    <row r="127" spans="2:12" x14ac:dyDescent="0.2">
      <c r="B127" t="s">
        <v>17</v>
      </c>
      <c r="C127">
        <v>3</v>
      </c>
      <c r="D127">
        <v>16.003000259399414</v>
      </c>
      <c r="E127">
        <v>3</v>
      </c>
      <c r="F127">
        <v>15.538999557495117</v>
      </c>
      <c r="G127">
        <v>3</v>
      </c>
      <c r="H127">
        <v>15.402999877929688</v>
      </c>
      <c r="I127">
        <v>3</v>
      </c>
      <c r="J127">
        <v>15.720999717712402</v>
      </c>
      <c r="K127">
        <v>3</v>
      </c>
      <c r="L127">
        <v>15.75</v>
      </c>
    </row>
    <row r="128" spans="2:12" x14ac:dyDescent="0.2">
      <c r="B128" t="s">
        <v>18</v>
      </c>
      <c r="C128">
        <v>59</v>
      </c>
      <c r="D128">
        <v>0.21699999272823334</v>
      </c>
      <c r="E128">
        <v>59</v>
      </c>
      <c r="F128">
        <v>0.21500000357627869</v>
      </c>
      <c r="G128">
        <v>59</v>
      </c>
      <c r="H128">
        <v>0.21400000154972076</v>
      </c>
      <c r="I128">
        <v>59</v>
      </c>
      <c r="J128">
        <v>0.21500000357627869</v>
      </c>
      <c r="K128">
        <v>59</v>
      </c>
      <c r="L128">
        <v>0.21500000357627869</v>
      </c>
    </row>
    <row r="129" spans="2:12" x14ac:dyDescent="0.2">
      <c r="B129" t="s">
        <v>19</v>
      </c>
      <c r="C129">
        <v>315</v>
      </c>
      <c r="D129">
        <v>4.1389999389648438</v>
      </c>
      <c r="E129">
        <v>318</v>
      </c>
      <c r="F129">
        <v>3.2630000114440918</v>
      </c>
      <c r="G129">
        <v>315</v>
      </c>
      <c r="H129">
        <v>4.5</v>
      </c>
      <c r="I129">
        <v>315</v>
      </c>
      <c r="J129">
        <v>5.3610000610351562</v>
      </c>
      <c r="K129">
        <v>303</v>
      </c>
      <c r="L129">
        <v>5.0219998359680176</v>
      </c>
    </row>
    <row r="130" spans="2:12" x14ac:dyDescent="0.2">
      <c r="B130" t="s">
        <v>20</v>
      </c>
      <c r="C130">
        <v>512</v>
      </c>
      <c r="D130">
        <v>42.361000061035156</v>
      </c>
      <c r="E130">
        <v>525</v>
      </c>
      <c r="F130">
        <v>43.099998474121094</v>
      </c>
      <c r="G130">
        <v>514</v>
      </c>
      <c r="H130">
        <v>34.672000885009766</v>
      </c>
      <c r="I130">
        <v>527</v>
      </c>
      <c r="J130">
        <v>18.173999786376953</v>
      </c>
      <c r="K130">
        <v>512</v>
      </c>
      <c r="L130">
        <v>58.78900146484375</v>
      </c>
    </row>
    <row r="131" spans="2:12" x14ac:dyDescent="0.2">
      <c r="B131" t="s">
        <v>21</v>
      </c>
      <c r="C131">
        <v>112</v>
      </c>
      <c r="D131">
        <v>22.135000228881836</v>
      </c>
      <c r="E131">
        <v>100</v>
      </c>
      <c r="F131">
        <v>38.03900146484375</v>
      </c>
      <c r="G131">
        <v>108</v>
      </c>
      <c r="H131">
        <v>17.863000869750977</v>
      </c>
      <c r="I131">
        <v>102</v>
      </c>
      <c r="J131">
        <v>28.381000518798828</v>
      </c>
      <c r="K131">
        <v>102</v>
      </c>
      <c r="L131">
        <v>20.868000030517578</v>
      </c>
    </row>
    <row r="132" spans="2:12" x14ac:dyDescent="0.2">
      <c r="B132" t="s">
        <v>22</v>
      </c>
      <c r="C132">
        <v>19</v>
      </c>
      <c r="D132">
        <v>7.0000002160668373E-3</v>
      </c>
      <c r="E132">
        <v>19</v>
      </c>
      <c r="F132">
        <v>7.0000002160668373E-3</v>
      </c>
      <c r="G132">
        <v>19</v>
      </c>
      <c r="H132">
        <v>7.0000002160668373E-3</v>
      </c>
      <c r="I132">
        <v>19</v>
      </c>
      <c r="J132">
        <v>8.0000003799796104E-3</v>
      </c>
      <c r="K132">
        <v>19</v>
      </c>
      <c r="L132">
        <v>7.0000002160668373E-3</v>
      </c>
    </row>
    <row r="133" spans="2:12" x14ac:dyDescent="0.2">
      <c r="B133" t="s">
        <v>23</v>
      </c>
      <c r="C133">
        <v>39</v>
      </c>
      <c r="D133">
        <v>3.244999885559082</v>
      </c>
      <c r="E133">
        <v>39</v>
      </c>
      <c r="F133">
        <v>3.1589999198913574</v>
      </c>
      <c r="G133">
        <v>39</v>
      </c>
      <c r="H133">
        <v>3.1909999847412109</v>
      </c>
      <c r="I133">
        <v>39</v>
      </c>
      <c r="J133">
        <v>3.2460000514984131</v>
      </c>
      <c r="K133">
        <v>39</v>
      </c>
      <c r="L133">
        <v>3.2960000038146973</v>
      </c>
    </row>
    <row r="134" spans="2:12" x14ac:dyDescent="0.2">
      <c r="B134" t="s">
        <v>24</v>
      </c>
      <c r="C134">
        <v>194</v>
      </c>
      <c r="D134">
        <v>1.5429999828338623</v>
      </c>
      <c r="E134">
        <v>195</v>
      </c>
      <c r="F134">
        <v>0.9869999885559082</v>
      </c>
      <c r="G134">
        <v>195</v>
      </c>
      <c r="H134">
        <v>0.97899997234344482</v>
      </c>
      <c r="I134">
        <v>194</v>
      </c>
      <c r="J134">
        <v>1.590999960899353</v>
      </c>
      <c r="K134">
        <v>194</v>
      </c>
      <c r="L134">
        <v>0.9869999885559082</v>
      </c>
    </row>
    <row r="135" spans="2:12" x14ac:dyDescent="0.2">
      <c r="B135" t="s">
        <v>25</v>
      </c>
      <c r="C135">
        <v>503</v>
      </c>
      <c r="D135">
        <v>7.1640000343322754</v>
      </c>
      <c r="E135">
        <v>509</v>
      </c>
      <c r="F135">
        <v>8.6829996109008789</v>
      </c>
      <c r="G135">
        <v>514</v>
      </c>
      <c r="H135">
        <v>2.4070000648498535</v>
      </c>
      <c r="I135">
        <v>505</v>
      </c>
      <c r="J135">
        <v>5.314000129699707</v>
      </c>
      <c r="K135">
        <v>493</v>
      </c>
      <c r="L135">
        <v>9.3020000457763672</v>
      </c>
    </row>
    <row r="136" spans="2:12" x14ac:dyDescent="0.2">
      <c r="B136" t="s">
        <v>26</v>
      </c>
      <c r="C136">
        <v>94</v>
      </c>
      <c r="D136">
        <v>0.12300000339746475</v>
      </c>
      <c r="E136">
        <v>94</v>
      </c>
      <c r="F136">
        <v>0.13099999725818634</v>
      </c>
      <c r="G136">
        <v>94</v>
      </c>
      <c r="H136">
        <v>0.13400000333786011</v>
      </c>
      <c r="I136">
        <v>94</v>
      </c>
      <c r="J136">
        <v>0.12999999523162842</v>
      </c>
      <c r="K136">
        <v>94</v>
      </c>
      <c r="L136">
        <v>0.13400000333786011</v>
      </c>
    </row>
    <row r="137" spans="2:12" x14ac:dyDescent="0.2">
      <c r="B137" t="s">
        <v>27</v>
      </c>
      <c r="C137">
        <v>135</v>
      </c>
      <c r="D137">
        <v>0.26499998569488525</v>
      </c>
      <c r="E137">
        <v>137</v>
      </c>
      <c r="F137">
        <v>0.17700000107288361</v>
      </c>
      <c r="G137">
        <v>136</v>
      </c>
      <c r="H137">
        <v>0.37900000810623169</v>
      </c>
      <c r="I137">
        <v>136</v>
      </c>
      <c r="J137">
        <v>0.25099998712539673</v>
      </c>
      <c r="K137">
        <v>135</v>
      </c>
      <c r="L137">
        <v>0.35600000619888306</v>
      </c>
    </row>
    <row r="138" spans="2:12" x14ac:dyDescent="0.2">
      <c r="B138" t="s">
        <v>28</v>
      </c>
      <c r="C138">
        <v>35</v>
      </c>
      <c r="D138">
        <v>0.9309999942779541</v>
      </c>
      <c r="E138">
        <v>35</v>
      </c>
      <c r="F138">
        <v>0.80800002813339233</v>
      </c>
      <c r="G138">
        <v>35</v>
      </c>
      <c r="H138">
        <v>0.82999998331069946</v>
      </c>
      <c r="I138">
        <v>35</v>
      </c>
      <c r="J138">
        <v>0.76599997282028198</v>
      </c>
      <c r="K138">
        <v>35</v>
      </c>
      <c r="L138">
        <v>0.82400000095367432</v>
      </c>
    </row>
    <row r="139" spans="2:12" x14ac:dyDescent="0.2">
      <c r="B139" t="s">
        <v>29</v>
      </c>
      <c r="C139">
        <v>63</v>
      </c>
      <c r="D139">
        <v>6.8000003695487976E-2</v>
      </c>
      <c r="E139">
        <v>61</v>
      </c>
      <c r="F139">
        <v>5.4999999701976776E-2</v>
      </c>
      <c r="G139">
        <v>63</v>
      </c>
      <c r="H139">
        <v>3.0999999493360519E-2</v>
      </c>
      <c r="I139">
        <v>61</v>
      </c>
      <c r="J139">
        <v>3.7999998778104782E-2</v>
      </c>
      <c r="K139">
        <v>61</v>
      </c>
      <c r="L139">
        <v>4.3000001460313797E-2</v>
      </c>
    </row>
    <row r="140" spans="2:12" x14ac:dyDescent="0.2">
      <c r="B140" t="s">
        <v>30</v>
      </c>
      <c r="C140">
        <v>11</v>
      </c>
      <c r="D140">
        <v>2.6000000536441803E-2</v>
      </c>
      <c r="E140">
        <v>11</v>
      </c>
      <c r="F140">
        <v>2.500000037252903E-2</v>
      </c>
      <c r="G140">
        <v>11</v>
      </c>
      <c r="H140">
        <v>1.9999999552965164E-2</v>
      </c>
      <c r="I140">
        <v>12</v>
      </c>
      <c r="J140">
        <v>1.6000000759959221E-2</v>
      </c>
      <c r="K140">
        <v>11</v>
      </c>
      <c r="L140">
        <v>3.0999999493360519E-2</v>
      </c>
    </row>
    <row r="141" spans="2:12" x14ac:dyDescent="0.2">
      <c r="B141" t="s">
        <v>32</v>
      </c>
      <c r="C141">
        <v>92</v>
      </c>
      <c r="D141">
        <v>0.41100001335144043</v>
      </c>
      <c r="E141">
        <v>94</v>
      </c>
      <c r="F141">
        <v>0.18799999356269836</v>
      </c>
      <c r="G141">
        <v>96</v>
      </c>
      <c r="H141">
        <v>0.20200000703334808</v>
      </c>
      <c r="I141">
        <v>93</v>
      </c>
      <c r="J141">
        <v>0.37099999189376831</v>
      </c>
      <c r="K141">
        <v>92</v>
      </c>
      <c r="L141">
        <v>0.43200001120567322</v>
      </c>
    </row>
    <row r="142" spans="2:12" x14ac:dyDescent="0.2">
      <c r="B142" s="46" t="s">
        <v>303</v>
      </c>
      <c r="C142" s="46"/>
      <c r="D142" s="46"/>
      <c r="E142" s="46"/>
      <c r="F142" s="46"/>
      <c r="G142" s="46"/>
      <c r="H142" s="46"/>
      <c r="I142" s="46"/>
      <c r="J142" s="46"/>
      <c r="K142" s="46"/>
      <c r="L142" s="46"/>
    </row>
    <row r="143" spans="2:12" x14ac:dyDescent="0.2">
      <c r="B143" t="s">
        <v>5</v>
      </c>
      <c r="C143" t="s">
        <v>256</v>
      </c>
      <c r="D143" t="s">
        <v>257</v>
      </c>
      <c r="E143" t="s">
        <v>258</v>
      </c>
      <c r="F143" t="s">
        <v>259</v>
      </c>
      <c r="G143" t="s">
        <v>260</v>
      </c>
      <c r="H143" t="s">
        <v>261</v>
      </c>
      <c r="I143" t="s">
        <v>262</v>
      </c>
      <c r="J143" t="s">
        <v>263</v>
      </c>
      <c r="K143" t="s">
        <v>264</v>
      </c>
      <c r="L143" t="s">
        <v>265</v>
      </c>
    </row>
    <row r="144" spans="2:12" x14ac:dyDescent="0.2">
      <c r="B144" t="s">
        <v>6</v>
      </c>
      <c r="C144">
        <v>531</v>
      </c>
      <c r="D144">
        <v>3.4089999198913574</v>
      </c>
      <c r="E144">
        <v>534</v>
      </c>
      <c r="F144">
        <v>1.9789999723434448</v>
      </c>
      <c r="G144">
        <v>535</v>
      </c>
      <c r="H144">
        <v>1.7730000019073486</v>
      </c>
      <c r="I144">
        <v>535</v>
      </c>
      <c r="J144">
        <v>1.9279999732971191</v>
      </c>
      <c r="K144">
        <v>532</v>
      </c>
      <c r="L144">
        <v>3</v>
      </c>
    </row>
    <row r="145" spans="2:12" x14ac:dyDescent="0.2">
      <c r="B145" t="s">
        <v>7</v>
      </c>
      <c r="C145">
        <v>161</v>
      </c>
      <c r="D145">
        <v>0.29499998688697815</v>
      </c>
      <c r="E145">
        <v>163</v>
      </c>
      <c r="F145">
        <v>0.19200000166893005</v>
      </c>
      <c r="G145">
        <v>160</v>
      </c>
      <c r="H145">
        <v>0.23100000619888306</v>
      </c>
      <c r="I145">
        <v>160</v>
      </c>
      <c r="J145">
        <v>0.28200000524520874</v>
      </c>
      <c r="K145">
        <v>162</v>
      </c>
      <c r="L145">
        <v>0.26800000667572021</v>
      </c>
    </row>
    <row r="146" spans="2:12" x14ac:dyDescent="0.2">
      <c r="B146" t="s">
        <v>8</v>
      </c>
      <c r="C146">
        <v>181</v>
      </c>
      <c r="D146">
        <v>0.52899998426437378</v>
      </c>
      <c r="E146">
        <v>180</v>
      </c>
      <c r="F146">
        <v>0.66500002145767212</v>
      </c>
      <c r="G146">
        <v>181</v>
      </c>
      <c r="H146">
        <v>0.85199999809265137</v>
      </c>
      <c r="I146">
        <v>180</v>
      </c>
      <c r="J146">
        <v>0.69900000095367432</v>
      </c>
      <c r="K146">
        <v>181</v>
      </c>
      <c r="L146">
        <v>0.5220000147819519</v>
      </c>
    </row>
    <row r="147" spans="2:12" x14ac:dyDescent="0.2">
      <c r="B147" t="s">
        <v>9</v>
      </c>
      <c r="C147">
        <v>18</v>
      </c>
      <c r="D147">
        <v>2.3000000044703484E-2</v>
      </c>
      <c r="E147">
        <v>21</v>
      </c>
      <c r="F147">
        <v>2.199999988079071E-2</v>
      </c>
      <c r="G147">
        <v>18</v>
      </c>
      <c r="H147">
        <v>1.6000000759959221E-2</v>
      </c>
      <c r="I147">
        <v>18</v>
      </c>
      <c r="J147">
        <v>1.6000000759959221E-2</v>
      </c>
      <c r="K147">
        <v>18</v>
      </c>
      <c r="L147">
        <v>1.7000000923871994E-2</v>
      </c>
    </row>
    <row r="148" spans="2:12" x14ac:dyDescent="0.2">
      <c r="B148" t="s">
        <v>10</v>
      </c>
      <c r="C148">
        <v>335</v>
      </c>
      <c r="D148">
        <v>18.63800048828125</v>
      </c>
      <c r="E148">
        <v>340</v>
      </c>
      <c r="F148">
        <v>14.175000190734863</v>
      </c>
      <c r="G148">
        <v>334</v>
      </c>
      <c r="H148">
        <v>20.959999084472656</v>
      </c>
      <c r="I148">
        <v>331</v>
      </c>
      <c r="J148">
        <v>22.334999084472656</v>
      </c>
      <c r="K148">
        <v>337</v>
      </c>
      <c r="L148">
        <v>12.034000396728516</v>
      </c>
    </row>
    <row r="149" spans="2:12" x14ac:dyDescent="0.2">
      <c r="B149" t="s">
        <v>11</v>
      </c>
      <c r="C149">
        <v>57</v>
      </c>
      <c r="D149">
        <v>9.0000003576278687E-2</v>
      </c>
      <c r="E149">
        <v>57</v>
      </c>
      <c r="F149">
        <v>8.6000002920627594E-2</v>
      </c>
      <c r="G149">
        <v>57</v>
      </c>
      <c r="H149">
        <v>8.7999999523162842E-2</v>
      </c>
      <c r="I149">
        <v>57</v>
      </c>
      <c r="J149">
        <v>8.7999999523162842E-2</v>
      </c>
      <c r="K149">
        <v>57</v>
      </c>
      <c r="L149">
        <v>9.2000000178813934E-2</v>
      </c>
    </row>
    <row r="150" spans="2:12" x14ac:dyDescent="0.2">
      <c r="B150" t="s">
        <v>12</v>
      </c>
      <c r="C150">
        <v>26</v>
      </c>
      <c r="D150">
        <v>6.6979999542236328</v>
      </c>
      <c r="E150">
        <v>26</v>
      </c>
      <c r="F150">
        <v>6.6420001983642578</v>
      </c>
      <c r="G150">
        <v>26</v>
      </c>
      <c r="H150">
        <v>6.6579999923706055</v>
      </c>
      <c r="I150">
        <v>26</v>
      </c>
      <c r="J150">
        <v>6.6090002059936523</v>
      </c>
      <c r="K150">
        <v>26</v>
      </c>
      <c r="L150">
        <v>5.7899999618530273</v>
      </c>
    </row>
    <row r="151" spans="2:12" x14ac:dyDescent="0.2">
      <c r="B151" t="s">
        <v>13</v>
      </c>
      <c r="C151">
        <v>301</v>
      </c>
      <c r="D151">
        <v>25.03700065612793</v>
      </c>
      <c r="E151">
        <v>300</v>
      </c>
      <c r="F151">
        <v>24.205999374389648</v>
      </c>
      <c r="G151">
        <v>291</v>
      </c>
      <c r="H151">
        <v>41.965999603271484</v>
      </c>
      <c r="I151">
        <v>304</v>
      </c>
      <c r="J151">
        <v>25.347999572753906</v>
      </c>
      <c r="K151">
        <v>296</v>
      </c>
      <c r="L151">
        <v>30.645999908447266</v>
      </c>
    </row>
    <row r="152" spans="2:12" x14ac:dyDescent="0.2">
      <c r="B152" t="s">
        <v>14</v>
      </c>
      <c r="C152">
        <v>152</v>
      </c>
      <c r="D152">
        <v>0.96100002527236938</v>
      </c>
      <c r="E152">
        <v>149</v>
      </c>
      <c r="F152">
        <v>0.58600002527236938</v>
      </c>
      <c r="G152">
        <v>149</v>
      </c>
      <c r="H152">
        <v>0.70099997520446777</v>
      </c>
      <c r="I152">
        <v>152</v>
      </c>
      <c r="J152">
        <v>0.56199997663497925</v>
      </c>
      <c r="K152">
        <v>149</v>
      </c>
      <c r="L152">
        <v>1.0659999847412109</v>
      </c>
    </row>
    <row r="153" spans="2:12" x14ac:dyDescent="0.2">
      <c r="B153" t="s">
        <v>15</v>
      </c>
      <c r="C153">
        <v>44</v>
      </c>
      <c r="D153">
        <v>1.0999999940395355E-2</v>
      </c>
      <c r="E153">
        <v>44</v>
      </c>
      <c r="F153">
        <v>6.0000000521540642E-3</v>
      </c>
      <c r="G153">
        <v>43</v>
      </c>
      <c r="H153">
        <v>6.0000000521540642E-3</v>
      </c>
      <c r="I153">
        <v>43</v>
      </c>
      <c r="J153">
        <v>7.0000002160668373E-3</v>
      </c>
      <c r="K153">
        <v>44</v>
      </c>
      <c r="L153">
        <v>7.0000002160668373E-3</v>
      </c>
    </row>
    <row r="154" spans="2:12" x14ac:dyDescent="0.2">
      <c r="B154" t="s">
        <v>16</v>
      </c>
      <c r="C154">
        <v>18</v>
      </c>
      <c r="D154">
        <v>12.829999923706055</v>
      </c>
      <c r="E154">
        <v>18</v>
      </c>
      <c r="F154">
        <v>11.833000183105469</v>
      </c>
      <c r="G154">
        <v>18</v>
      </c>
      <c r="H154">
        <v>11.755000114440918</v>
      </c>
      <c r="I154">
        <v>18</v>
      </c>
      <c r="J154">
        <v>11.043999671936035</v>
      </c>
      <c r="K154">
        <v>18</v>
      </c>
      <c r="L154">
        <v>11.071000099182129</v>
      </c>
    </row>
    <row r="155" spans="2:12" x14ac:dyDescent="0.2">
      <c r="B155" t="s">
        <v>17</v>
      </c>
      <c r="C155">
        <v>3</v>
      </c>
      <c r="D155">
        <v>17.576999664306641</v>
      </c>
      <c r="E155">
        <v>3</v>
      </c>
      <c r="F155">
        <v>16.163999557495117</v>
      </c>
      <c r="G155">
        <v>3</v>
      </c>
      <c r="H155">
        <v>17.292999267578125</v>
      </c>
      <c r="I155">
        <v>3</v>
      </c>
      <c r="J155">
        <v>16.291999816894531</v>
      </c>
      <c r="K155">
        <v>3</v>
      </c>
      <c r="L155">
        <v>16.607000350952148</v>
      </c>
    </row>
    <row r="156" spans="2:12" x14ac:dyDescent="0.2">
      <c r="B156" t="s">
        <v>18</v>
      </c>
      <c r="C156">
        <v>59</v>
      </c>
      <c r="D156">
        <v>0.23499999940395355</v>
      </c>
      <c r="E156">
        <v>59</v>
      </c>
      <c r="F156">
        <v>0.22800000011920929</v>
      </c>
      <c r="G156">
        <v>59</v>
      </c>
      <c r="H156">
        <v>0.22300000488758087</v>
      </c>
      <c r="I156">
        <v>59</v>
      </c>
      <c r="J156">
        <v>0.21299999952316284</v>
      </c>
      <c r="K156">
        <v>59</v>
      </c>
      <c r="L156">
        <v>0.2070000022649765</v>
      </c>
    </row>
    <row r="157" spans="2:12" x14ac:dyDescent="0.2">
      <c r="B157" t="s">
        <v>19</v>
      </c>
      <c r="C157">
        <v>332</v>
      </c>
      <c r="D157">
        <v>2.4590001106262207</v>
      </c>
      <c r="E157">
        <v>324</v>
      </c>
      <c r="F157">
        <v>2.2590000629425049</v>
      </c>
      <c r="G157">
        <v>317</v>
      </c>
      <c r="H157">
        <v>3.3190000057220459</v>
      </c>
      <c r="I157">
        <v>318</v>
      </c>
      <c r="J157">
        <v>2.875999927520752</v>
      </c>
      <c r="K157">
        <v>318</v>
      </c>
      <c r="L157">
        <v>3.3980000019073486</v>
      </c>
    </row>
    <row r="158" spans="2:12" x14ac:dyDescent="0.2">
      <c r="B158" t="s">
        <v>20</v>
      </c>
      <c r="C158">
        <v>513</v>
      </c>
      <c r="D158">
        <v>33.249000549316406</v>
      </c>
      <c r="E158">
        <v>516</v>
      </c>
      <c r="F158">
        <v>29.941999435424805</v>
      </c>
      <c r="G158">
        <v>536</v>
      </c>
      <c r="H158">
        <v>20.73900032043457</v>
      </c>
      <c r="I158">
        <v>513</v>
      </c>
      <c r="J158">
        <v>42.405998229980469</v>
      </c>
      <c r="K158">
        <v>503</v>
      </c>
      <c r="L158">
        <v>52.823001861572266</v>
      </c>
    </row>
    <row r="159" spans="2:12" x14ac:dyDescent="0.2">
      <c r="B159" t="s">
        <v>21</v>
      </c>
      <c r="C159">
        <v>106</v>
      </c>
      <c r="D159">
        <v>23.813999176025391</v>
      </c>
      <c r="E159">
        <v>102</v>
      </c>
      <c r="F159">
        <v>27.75200080871582</v>
      </c>
      <c r="G159">
        <v>100</v>
      </c>
      <c r="H159">
        <v>41.375999450683594</v>
      </c>
      <c r="I159">
        <v>110</v>
      </c>
      <c r="J159">
        <v>22.49799919128418</v>
      </c>
      <c r="K159">
        <v>106</v>
      </c>
      <c r="L159">
        <v>20.808000564575195</v>
      </c>
    </row>
    <row r="160" spans="2:12" x14ac:dyDescent="0.2">
      <c r="B160" t="s">
        <v>22</v>
      </c>
      <c r="C160">
        <v>19</v>
      </c>
      <c r="D160">
        <v>1.3000000268220901E-2</v>
      </c>
      <c r="E160">
        <v>19</v>
      </c>
      <c r="F160">
        <v>6.0000000521540642E-3</v>
      </c>
      <c r="G160">
        <v>20</v>
      </c>
      <c r="H160">
        <v>8.999999612569809E-3</v>
      </c>
      <c r="I160">
        <v>19</v>
      </c>
      <c r="J160">
        <v>8.0000003799796104E-3</v>
      </c>
      <c r="K160">
        <v>19</v>
      </c>
      <c r="L160">
        <v>8.999999612569809E-3</v>
      </c>
    </row>
    <row r="161" spans="2:12" x14ac:dyDescent="0.2">
      <c r="B161" t="s">
        <v>23</v>
      </c>
      <c r="C161">
        <v>39</v>
      </c>
      <c r="D161">
        <v>3.8059999942779541</v>
      </c>
      <c r="E161">
        <v>39</v>
      </c>
      <c r="F161">
        <v>4.4180002212524414</v>
      </c>
      <c r="G161">
        <v>39</v>
      </c>
      <c r="H161">
        <v>3.1470000743865967</v>
      </c>
      <c r="I161">
        <v>39</v>
      </c>
      <c r="J161">
        <v>3.2699999809265137</v>
      </c>
      <c r="K161">
        <v>39</v>
      </c>
      <c r="L161">
        <v>3.0380001068115234</v>
      </c>
    </row>
    <row r="162" spans="2:12" x14ac:dyDescent="0.2">
      <c r="B162" t="s">
        <v>24</v>
      </c>
      <c r="C162">
        <v>196</v>
      </c>
      <c r="D162">
        <v>0.89999997615814209</v>
      </c>
      <c r="E162">
        <v>193</v>
      </c>
      <c r="F162">
        <v>1.9320000410079956</v>
      </c>
      <c r="G162">
        <v>193</v>
      </c>
      <c r="H162">
        <v>1.0559999942779541</v>
      </c>
      <c r="I162">
        <v>192</v>
      </c>
      <c r="J162">
        <v>1.940000057220459</v>
      </c>
      <c r="K162">
        <v>192</v>
      </c>
      <c r="L162">
        <v>1.7369999885559082</v>
      </c>
    </row>
    <row r="163" spans="2:12" x14ac:dyDescent="0.2">
      <c r="B163" t="s">
        <v>25</v>
      </c>
      <c r="C163">
        <v>495</v>
      </c>
      <c r="D163">
        <v>7.2810001373291016</v>
      </c>
      <c r="E163">
        <v>509</v>
      </c>
      <c r="F163">
        <v>3.7599999904632568</v>
      </c>
      <c r="G163">
        <v>514</v>
      </c>
      <c r="H163">
        <v>3.7130000591278076</v>
      </c>
      <c r="I163">
        <v>509</v>
      </c>
      <c r="J163">
        <v>6.6589999198913574</v>
      </c>
      <c r="K163">
        <v>518</v>
      </c>
      <c r="L163">
        <v>2.6329998970031738</v>
      </c>
    </row>
    <row r="164" spans="2:12" x14ac:dyDescent="0.2">
      <c r="B164" t="s">
        <v>26</v>
      </c>
      <c r="C164">
        <v>94</v>
      </c>
      <c r="D164">
        <v>0.13400000333786011</v>
      </c>
      <c r="E164">
        <v>94</v>
      </c>
      <c r="F164">
        <v>0.13500000536441803</v>
      </c>
      <c r="G164">
        <v>94</v>
      </c>
      <c r="H164">
        <v>0.12800000607967377</v>
      </c>
      <c r="I164">
        <v>94</v>
      </c>
      <c r="J164">
        <v>0.13300000131130219</v>
      </c>
      <c r="K164">
        <v>94</v>
      </c>
      <c r="L164">
        <v>0.1289999932050705</v>
      </c>
    </row>
    <row r="165" spans="2:12" x14ac:dyDescent="0.2">
      <c r="B165" t="s">
        <v>27</v>
      </c>
      <c r="C165">
        <v>139</v>
      </c>
      <c r="D165">
        <v>0.25099998712539673</v>
      </c>
      <c r="E165">
        <v>135</v>
      </c>
      <c r="F165">
        <v>0.29899999499320984</v>
      </c>
      <c r="G165">
        <v>137</v>
      </c>
      <c r="H165">
        <v>0.17800000309944153</v>
      </c>
      <c r="I165">
        <v>137</v>
      </c>
      <c r="J165">
        <v>0.33500000834465027</v>
      </c>
      <c r="K165">
        <v>136</v>
      </c>
      <c r="L165">
        <v>0.25200000405311584</v>
      </c>
    </row>
    <row r="166" spans="2:12" x14ac:dyDescent="0.2">
      <c r="B166" t="s">
        <v>28</v>
      </c>
      <c r="C166">
        <v>35</v>
      </c>
      <c r="D166">
        <v>0.80900001525878906</v>
      </c>
      <c r="E166">
        <v>35</v>
      </c>
      <c r="F166">
        <v>0.96299999952316284</v>
      </c>
      <c r="G166">
        <v>35</v>
      </c>
      <c r="H166">
        <v>1.0269999504089355</v>
      </c>
      <c r="I166">
        <v>35</v>
      </c>
      <c r="J166">
        <v>0.78100001811981201</v>
      </c>
      <c r="K166">
        <v>35</v>
      </c>
      <c r="L166">
        <v>1.0279999971389771</v>
      </c>
    </row>
    <row r="167" spans="2:12" x14ac:dyDescent="0.2">
      <c r="B167" t="s">
        <v>29</v>
      </c>
      <c r="C167">
        <v>64</v>
      </c>
      <c r="D167">
        <v>4.8999998718500137E-2</v>
      </c>
      <c r="E167">
        <v>62</v>
      </c>
      <c r="F167">
        <v>3.2000001519918442E-2</v>
      </c>
      <c r="G167">
        <v>62</v>
      </c>
      <c r="H167">
        <v>3.7000000476837158E-2</v>
      </c>
      <c r="I167">
        <v>62</v>
      </c>
      <c r="J167">
        <v>3.0999999493360519E-2</v>
      </c>
      <c r="K167">
        <v>64</v>
      </c>
      <c r="L167">
        <v>4.6999998390674591E-2</v>
      </c>
    </row>
    <row r="168" spans="2:12" x14ac:dyDescent="0.2">
      <c r="B168" t="s">
        <v>30</v>
      </c>
      <c r="C168">
        <v>11</v>
      </c>
      <c r="D168">
        <v>2.4000000208616257E-2</v>
      </c>
      <c r="E168">
        <v>11</v>
      </c>
      <c r="F168">
        <v>2.199999988079071E-2</v>
      </c>
      <c r="G168">
        <v>11</v>
      </c>
      <c r="H168">
        <v>2.0999999716877937E-2</v>
      </c>
      <c r="I168">
        <v>11</v>
      </c>
      <c r="J168">
        <v>2.199999988079071E-2</v>
      </c>
      <c r="K168">
        <v>11</v>
      </c>
      <c r="L168">
        <v>1.8999999389052391E-2</v>
      </c>
    </row>
    <row r="169" spans="2:12" x14ac:dyDescent="0.2">
      <c r="B169" t="s">
        <v>32</v>
      </c>
      <c r="C169">
        <v>95</v>
      </c>
      <c r="D169">
        <v>0.3970000147819519</v>
      </c>
      <c r="E169">
        <v>94</v>
      </c>
      <c r="F169">
        <v>0.17900000512599945</v>
      </c>
      <c r="G169">
        <v>94</v>
      </c>
      <c r="H169">
        <v>0.30099999904632568</v>
      </c>
      <c r="I169">
        <v>93</v>
      </c>
      <c r="J169">
        <v>0.3449999988079071</v>
      </c>
      <c r="K169">
        <v>97</v>
      </c>
      <c r="L169">
        <v>0.18400000035762787</v>
      </c>
    </row>
  </sheetData>
  <mergeCells count="6">
    <mergeCell ref="B142:L142"/>
    <mergeCell ref="B2:L2"/>
    <mergeCell ref="B30:L30"/>
    <mergeCell ref="B58:L58"/>
    <mergeCell ref="B86:L86"/>
    <mergeCell ref="B114:L11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3A61D-C6DF-9741-888F-24FF27B57094}">
  <dimension ref="B1:AP118"/>
  <sheetViews>
    <sheetView tabSelected="1" workbookViewId="0">
      <selection activeCell="J41" sqref="J41"/>
    </sheetView>
  </sheetViews>
  <sheetFormatPr baseColWidth="10" defaultRowHeight="15" x14ac:dyDescent="0.2"/>
  <sheetData>
    <row r="1" spans="2:42" x14ac:dyDescent="0.2">
      <c r="B1" t="s">
        <v>5</v>
      </c>
      <c r="C1" t="s">
        <v>256</v>
      </c>
      <c r="D1" t="s">
        <v>257</v>
      </c>
      <c r="E1" t="s">
        <v>258</v>
      </c>
      <c r="F1" t="s">
        <v>259</v>
      </c>
      <c r="G1" t="s">
        <v>260</v>
      </c>
      <c r="H1" t="s">
        <v>261</v>
      </c>
      <c r="I1" t="s">
        <v>262</v>
      </c>
      <c r="J1" t="s">
        <v>263</v>
      </c>
      <c r="K1" t="s">
        <v>264</v>
      </c>
      <c r="L1" t="s">
        <v>265</v>
      </c>
      <c r="M1" t="s">
        <v>266</v>
      </c>
      <c r="N1" t="s">
        <v>267</v>
      </c>
      <c r="O1" t="s">
        <v>268</v>
      </c>
      <c r="P1" t="s">
        <v>269</v>
      </c>
      <c r="Q1" t="s">
        <v>270</v>
      </c>
      <c r="R1" t="s">
        <v>271</v>
      </c>
      <c r="S1" t="s">
        <v>272</v>
      </c>
      <c r="T1" t="s">
        <v>273</v>
      </c>
      <c r="U1" t="s">
        <v>274</v>
      </c>
      <c r="V1" t="s">
        <v>275</v>
      </c>
      <c r="W1" t="s">
        <v>276</v>
      </c>
      <c r="X1" t="s">
        <v>277</v>
      </c>
      <c r="Y1" t="s">
        <v>278</v>
      </c>
      <c r="Z1" t="s">
        <v>279</v>
      </c>
      <c r="AA1" t="s">
        <v>280</v>
      </c>
      <c r="AB1" t="s">
        <v>281</v>
      </c>
      <c r="AC1" t="s">
        <v>282</v>
      </c>
      <c r="AD1" t="s">
        <v>283</v>
      </c>
      <c r="AE1" t="s">
        <v>284</v>
      </c>
      <c r="AF1" t="s">
        <v>285</v>
      </c>
      <c r="AG1" t="s">
        <v>286</v>
      </c>
      <c r="AH1" t="s">
        <v>287</v>
      </c>
      <c r="AI1" t="s">
        <v>288</v>
      </c>
      <c r="AJ1" t="s">
        <v>289</v>
      </c>
      <c r="AK1" t="s">
        <v>290</v>
      </c>
      <c r="AL1" t="s">
        <v>291</v>
      </c>
      <c r="AM1" t="s">
        <v>292</v>
      </c>
      <c r="AN1" t="s">
        <v>293</v>
      </c>
      <c r="AO1" t="s">
        <v>294</v>
      </c>
      <c r="AP1" t="s">
        <v>295</v>
      </c>
    </row>
    <row r="2" spans="2:42" x14ac:dyDescent="0.2">
      <c r="B2" t="s">
        <v>6</v>
      </c>
      <c r="C2">
        <v>532</v>
      </c>
      <c r="D2">
        <v>2.8139998912811279</v>
      </c>
      <c r="E2">
        <v>532</v>
      </c>
      <c r="F2">
        <v>1.7369999885559082</v>
      </c>
      <c r="G2">
        <v>533</v>
      </c>
      <c r="H2">
        <v>1.2480000257492065</v>
      </c>
      <c r="I2">
        <v>532</v>
      </c>
      <c r="J2">
        <v>1.6119999885559082</v>
      </c>
      <c r="K2">
        <v>532</v>
      </c>
      <c r="L2">
        <v>1.8689999580383301</v>
      </c>
      <c r="M2">
        <v>533</v>
      </c>
      <c r="N2">
        <v>2.0769999027252197</v>
      </c>
      <c r="O2">
        <v>533</v>
      </c>
      <c r="P2">
        <v>1.3339999914169312</v>
      </c>
      <c r="Q2">
        <v>535</v>
      </c>
      <c r="R2">
        <v>1.1529999971389771</v>
      </c>
      <c r="S2">
        <v>533</v>
      </c>
      <c r="T2">
        <v>1.3730000257492065</v>
      </c>
      <c r="U2">
        <v>533</v>
      </c>
      <c r="V2">
        <v>2.0820000171661377</v>
      </c>
      <c r="W2">
        <v>536</v>
      </c>
      <c r="X2">
        <v>1.1950000524520874</v>
      </c>
      <c r="Y2">
        <v>532</v>
      </c>
      <c r="Z2">
        <v>2.2209999561309814</v>
      </c>
      <c r="AA2">
        <v>533</v>
      </c>
      <c r="AB2">
        <v>2.375</v>
      </c>
      <c r="AC2">
        <v>532</v>
      </c>
      <c r="AD2">
        <v>1.8880000114440918</v>
      </c>
      <c r="AE2">
        <v>534</v>
      </c>
      <c r="AF2">
        <v>1.9720000028610229</v>
      </c>
      <c r="AG2">
        <v>535</v>
      </c>
      <c r="AH2">
        <v>1.2089999914169312</v>
      </c>
      <c r="AI2">
        <v>533</v>
      </c>
      <c r="AJ2">
        <v>1.8079999685287476</v>
      </c>
      <c r="AK2">
        <v>532</v>
      </c>
      <c r="AL2">
        <v>2.9460000991821289</v>
      </c>
      <c r="AM2">
        <v>535</v>
      </c>
      <c r="AN2">
        <v>1.4140000343322754</v>
      </c>
      <c r="AO2">
        <v>532</v>
      </c>
      <c r="AP2">
        <v>1.9049999713897705</v>
      </c>
    </row>
    <row r="3" spans="2:42" x14ac:dyDescent="0.2">
      <c r="B3" t="s">
        <v>145</v>
      </c>
      <c r="C3">
        <v>790</v>
      </c>
      <c r="D3">
        <v>182.29200744628906</v>
      </c>
      <c r="E3">
        <v>790</v>
      </c>
      <c r="F3">
        <v>181.81300354003906</v>
      </c>
      <c r="G3">
        <v>790</v>
      </c>
      <c r="H3">
        <v>183.75799560546875</v>
      </c>
      <c r="I3">
        <v>790</v>
      </c>
      <c r="J3">
        <v>182.87899780273438</v>
      </c>
      <c r="K3">
        <v>790</v>
      </c>
      <c r="L3">
        <v>182.08799743652344</v>
      </c>
      <c r="M3">
        <v>790</v>
      </c>
      <c r="N3">
        <v>180.50999450683594</v>
      </c>
      <c r="O3">
        <v>790</v>
      </c>
      <c r="P3">
        <v>184.70899963378906</v>
      </c>
      <c r="Q3">
        <v>790</v>
      </c>
      <c r="R3">
        <v>180.63999938964844</v>
      </c>
      <c r="S3">
        <v>790</v>
      </c>
      <c r="T3">
        <v>186.61300659179688</v>
      </c>
      <c r="U3">
        <v>790</v>
      </c>
      <c r="V3">
        <v>180.26100158691406</v>
      </c>
      <c r="W3">
        <v>790</v>
      </c>
      <c r="X3">
        <v>187.84800720214844</v>
      </c>
      <c r="Y3">
        <v>790</v>
      </c>
      <c r="Z3">
        <v>178.96600341796875</v>
      </c>
      <c r="AA3">
        <v>790</v>
      </c>
      <c r="AB3">
        <v>181.30000305175781</v>
      </c>
      <c r="AC3">
        <v>790</v>
      </c>
      <c r="AD3">
        <v>179.12600708007812</v>
      </c>
      <c r="AE3">
        <v>790</v>
      </c>
      <c r="AF3">
        <v>179.09300231933594</v>
      </c>
      <c r="AG3">
        <v>790</v>
      </c>
      <c r="AH3">
        <v>181.5</v>
      </c>
      <c r="AI3">
        <v>790</v>
      </c>
      <c r="AJ3">
        <v>182.27799987792969</v>
      </c>
      <c r="AK3">
        <v>790</v>
      </c>
      <c r="AL3">
        <v>179.70199584960938</v>
      </c>
      <c r="AM3">
        <v>790</v>
      </c>
      <c r="AN3">
        <v>184.88800048828125</v>
      </c>
      <c r="AO3">
        <v>790</v>
      </c>
      <c r="AP3">
        <v>179.05799865722656</v>
      </c>
    </row>
    <row r="4" spans="2:42" x14ac:dyDescent="0.2">
      <c r="B4" t="s">
        <v>146</v>
      </c>
      <c r="C4">
        <v>126</v>
      </c>
      <c r="D4">
        <v>0.10499999672174454</v>
      </c>
      <c r="E4">
        <v>124</v>
      </c>
      <c r="F4">
        <v>0.19499999284744263</v>
      </c>
      <c r="G4">
        <v>126</v>
      </c>
      <c r="H4">
        <v>0.10199999809265137</v>
      </c>
      <c r="I4">
        <v>126</v>
      </c>
      <c r="J4">
        <v>0.10199999809265137</v>
      </c>
      <c r="K4">
        <v>125</v>
      </c>
      <c r="L4">
        <v>0.1379999965429306</v>
      </c>
      <c r="M4">
        <v>126</v>
      </c>
      <c r="N4">
        <v>0.11500000208616257</v>
      </c>
      <c r="O4">
        <v>125</v>
      </c>
      <c r="P4">
        <v>9.4999998807907104E-2</v>
      </c>
      <c r="Q4">
        <v>125</v>
      </c>
      <c r="R4">
        <v>0.10199999809265137</v>
      </c>
      <c r="S4">
        <v>124</v>
      </c>
      <c r="T4">
        <v>0.13400000333786011</v>
      </c>
      <c r="U4">
        <v>126</v>
      </c>
      <c r="V4">
        <v>0.12200000137090683</v>
      </c>
      <c r="W4">
        <v>126</v>
      </c>
      <c r="X4">
        <v>9.7999997437000275E-2</v>
      </c>
      <c r="Y4">
        <v>123</v>
      </c>
      <c r="Z4">
        <v>0.21199999749660492</v>
      </c>
      <c r="AA4">
        <v>125</v>
      </c>
      <c r="AB4">
        <v>0.13500000536441803</v>
      </c>
      <c r="AC4">
        <v>124</v>
      </c>
      <c r="AD4">
        <v>0.10899999737739563</v>
      </c>
      <c r="AE4">
        <v>126</v>
      </c>
      <c r="AF4">
        <v>0.10100000351667404</v>
      </c>
      <c r="AG4">
        <v>124</v>
      </c>
      <c r="AH4">
        <v>0.1550000011920929</v>
      </c>
      <c r="AI4">
        <v>123</v>
      </c>
      <c r="AJ4">
        <v>0.13400000333786011</v>
      </c>
      <c r="AK4">
        <v>124</v>
      </c>
      <c r="AL4">
        <v>9.2000000178813934E-2</v>
      </c>
      <c r="AM4">
        <v>124</v>
      </c>
      <c r="AN4">
        <v>0.11800000071525574</v>
      </c>
      <c r="AO4">
        <v>123</v>
      </c>
      <c r="AP4">
        <v>0.13099999725818634</v>
      </c>
    </row>
    <row r="5" spans="2:42" x14ac:dyDescent="0.2">
      <c r="B5" t="s">
        <v>147</v>
      </c>
      <c r="C5">
        <v>123</v>
      </c>
      <c r="D5">
        <v>1.4320000410079956</v>
      </c>
      <c r="E5">
        <v>124</v>
      </c>
      <c r="F5">
        <v>1.1130000352859497</v>
      </c>
      <c r="G5">
        <v>127</v>
      </c>
      <c r="H5">
        <v>0.62099999189376831</v>
      </c>
      <c r="I5">
        <v>127</v>
      </c>
      <c r="J5">
        <v>0.59200000762939453</v>
      </c>
      <c r="K5">
        <v>125</v>
      </c>
      <c r="L5">
        <v>0.66600000858306885</v>
      </c>
      <c r="M5">
        <v>124</v>
      </c>
      <c r="N5">
        <v>0.94099998474121094</v>
      </c>
      <c r="O5">
        <v>128</v>
      </c>
      <c r="P5">
        <v>0.53100001811981201</v>
      </c>
      <c r="Q5">
        <v>127</v>
      </c>
      <c r="R5">
        <v>1.1019999980926514</v>
      </c>
      <c r="S5">
        <v>127</v>
      </c>
      <c r="T5">
        <v>0.52300000190734863</v>
      </c>
      <c r="U5">
        <v>128</v>
      </c>
      <c r="V5">
        <v>0.55299997329711914</v>
      </c>
      <c r="W5">
        <v>128</v>
      </c>
      <c r="X5">
        <v>0.60600000619888306</v>
      </c>
      <c r="Y5">
        <v>126</v>
      </c>
      <c r="Z5">
        <v>0.57700002193450928</v>
      </c>
      <c r="AA5">
        <v>127</v>
      </c>
      <c r="AB5">
        <v>0.67699998617172241</v>
      </c>
      <c r="AC5">
        <v>124</v>
      </c>
      <c r="AD5">
        <v>0.56300002336502075</v>
      </c>
      <c r="AE5">
        <v>126</v>
      </c>
      <c r="AF5">
        <v>0.66200000047683716</v>
      </c>
      <c r="AG5">
        <v>124</v>
      </c>
      <c r="AH5">
        <v>0.79500001668930054</v>
      </c>
      <c r="AI5">
        <v>125</v>
      </c>
      <c r="AJ5">
        <v>0.92900002002716064</v>
      </c>
      <c r="AK5">
        <v>126</v>
      </c>
      <c r="AL5">
        <v>1.0800000429153442</v>
      </c>
      <c r="AM5">
        <v>124</v>
      </c>
      <c r="AN5">
        <v>0.69300001859664917</v>
      </c>
      <c r="AO5">
        <v>125</v>
      </c>
      <c r="AP5">
        <v>1.1089999675750732</v>
      </c>
    </row>
    <row r="6" spans="2:42" x14ac:dyDescent="0.2">
      <c r="B6" t="s">
        <v>7</v>
      </c>
      <c r="C6">
        <v>161</v>
      </c>
      <c r="D6">
        <v>0.22100000083446503</v>
      </c>
      <c r="E6">
        <v>160</v>
      </c>
      <c r="F6">
        <v>0.3059999942779541</v>
      </c>
      <c r="G6">
        <v>161</v>
      </c>
      <c r="H6">
        <v>0.26399999856948853</v>
      </c>
      <c r="I6">
        <v>161</v>
      </c>
      <c r="J6">
        <v>0.37999999523162842</v>
      </c>
      <c r="K6">
        <v>161</v>
      </c>
      <c r="L6">
        <v>0.24400000274181366</v>
      </c>
      <c r="M6">
        <v>161</v>
      </c>
      <c r="N6">
        <v>0.20800000429153442</v>
      </c>
      <c r="O6">
        <v>163</v>
      </c>
      <c r="P6">
        <v>0.23499999940395355</v>
      </c>
      <c r="Q6">
        <v>161</v>
      </c>
      <c r="R6">
        <v>0.26199999451637268</v>
      </c>
      <c r="S6">
        <v>160</v>
      </c>
      <c r="T6">
        <v>0.24699999392032623</v>
      </c>
      <c r="U6">
        <v>162</v>
      </c>
      <c r="V6">
        <v>0.22499999403953552</v>
      </c>
      <c r="W6">
        <v>160</v>
      </c>
      <c r="X6">
        <v>0.34099999070167542</v>
      </c>
      <c r="Y6">
        <v>159</v>
      </c>
      <c r="Z6">
        <v>0.20200000703334808</v>
      </c>
      <c r="AA6">
        <v>160</v>
      </c>
      <c r="AB6">
        <v>0.32400000095367432</v>
      </c>
      <c r="AC6">
        <v>160</v>
      </c>
      <c r="AD6">
        <v>0.27700001001358032</v>
      </c>
      <c r="AE6">
        <v>160</v>
      </c>
      <c r="AF6">
        <v>0.27399998903274536</v>
      </c>
      <c r="AG6">
        <v>161</v>
      </c>
      <c r="AH6">
        <v>0.23299999535083771</v>
      </c>
      <c r="AI6">
        <v>161</v>
      </c>
      <c r="AJ6">
        <v>0.31200000643730164</v>
      </c>
      <c r="AK6">
        <v>160</v>
      </c>
      <c r="AL6">
        <v>0.27700001001358032</v>
      </c>
      <c r="AM6">
        <v>159</v>
      </c>
      <c r="AN6">
        <v>0.3059999942779541</v>
      </c>
      <c r="AO6">
        <v>161</v>
      </c>
      <c r="AP6">
        <v>0.2070000022649765</v>
      </c>
    </row>
    <row r="7" spans="2:42" x14ac:dyDescent="0.2">
      <c r="B7" t="s">
        <v>148</v>
      </c>
      <c r="C7">
        <v>283</v>
      </c>
      <c r="D7">
        <v>1.3609999418258667</v>
      </c>
      <c r="E7">
        <v>297</v>
      </c>
      <c r="F7">
        <v>1.1030000448226929</v>
      </c>
      <c r="G7">
        <v>285</v>
      </c>
      <c r="H7">
        <v>1.8969999551773071</v>
      </c>
      <c r="I7">
        <v>293</v>
      </c>
      <c r="J7">
        <v>1.4730000495910645</v>
      </c>
      <c r="K7">
        <v>286</v>
      </c>
      <c r="L7">
        <v>2.1459999084472656</v>
      </c>
      <c r="M7">
        <v>284</v>
      </c>
      <c r="N7">
        <v>1.7380000352859497</v>
      </c>
      <c r="O7">
        <v>283</v>
      </c>
      <c r="P7">
        <v>1.9980000257492065</v>
      </c>
      <c r="Q7">
        <v>283</v>
      </c>
      <c r="R7">
        <v>1.3799999952316284</v>
      </c>
      <c r="S7">
        <v>289</v>
      </c>
      <c r="T7">
        <v>1.0470000505447388</v>
      </c>
      <c r="U7">
        <v>292</v>
      </c>
      <c r="V7">
        <v>1.1710000038146973</v>
      </c>
      <c r="W7">
        <v>307</v>
      </c>
      <c r="X7">
        <v>0.75400000810623169</v>
      </c>
      <c r="Y7">
        <v>284</v>
      </c>
      <c r="Z7">
        <v>2.375999927520752</v>
      </c>
      <c r="AA7">
        <v>286</v>
      </c>
      <c r="AB7">
        <v>1.496999979019165</v>
      </c>
      <c r="AC7">
        <v>283</v>
      </c>
      <c r="AD7">
        <v>1.6549999713897705</v>
      </c>
      <c r="AE7">
        <v>283</v>
      </c>
      <c r="AF7">
        <v>2.2149999141693115</v>
      </c>
      <c r="AG7">
        <v>284</v>
      </c>
      <c r="AH7">
        <v>2.4049999713897705</v>
      </c>
      <c r="AI7">
        <v>293</v>
      </c>
      <c r="AJ7">
        <v>0.9440000057220459</v>
      </c>
      <c r="AK7">
        <v>284</v>
      </c>
      <c r="AL7">
        <v>2.7200000286102295</v>
      </c>
      <c r="AM7">
        <v>287</v>
      </c>
      <c r="AN7">
        <v>1.9220000505447388</v>
      </c>
      <c r="AO7">
        <v>284</v>
      </c>
      <c r="AP7">
        <v>1.7790000438690186</v>
      </c>
    </row>
    <row r="8" spans="2:42" x14ac:dyDescent="0.2">
      <c r="B8" t="s">
        <v>149</v>
      </c>
      <c r="C8">
        <v>45</v>
      </c>
      <c r="D8">
        <v>2.9999999329447746E-2</v>
      </c>
      <c r="E8">
        <v>45</v>
      </c>
      <c r="F8">
        <v>2.4000000208616257E-2</v>
      </c>
      <c r="G8">
        <v>45</v>
      </c>
      <c r="H8">
        <v>2.199999988079071E-2</v>
      </c>
      <c r="I8">
        <v>45</v>
      </c>
      <c r="J8">
        <v>4.8000000417232513E-2</v>
      </c>
      <c r="K8">
        <v>45</v>
      </c>
      <c r="L8">
        <v>2.7000000700354576E-2</v>
      </c>
      <c r="M8">
        <v>45</v>
      </c>
      <c r="N8">
        <v>2.8999999165534973E-2</v>
      </c>
      <c r="O8">
        <v>45</v>
      </c>
      <c r="P8">
        <v>2.3000000044703484E-2</v>
      </c>
      <c r="Q8">
        <v>45</v>
      </c>
      <c r="R8">
        <v>2.8999999165534973E-2</v>
      </c>
      <c r="S8">
        <v>45</v>
      </c>
      <c r="T8">
        <v>2.8000000864267349E-2</v>
      </c>
      <c r="U8">
        <v>45</v>
      </c>
      <c r="V8">
        <v>3.2999999821186066E-2</v>
      </c>
      <c r="W8">
        <v>46</v>
      </c>
      <c r="X8">
        <v>2.4000000208616257E-2</v>
      </c>
      <c r="Y8">
        <v>45</v>
      </c>
      <c r="Z8">
        <v>4.8999998718500137E-2</v>
      </c>
      <c r="AA8">
        <v>46</v>
      </c>
      <c r="AB8">
        <v>2.500000037252903E-2</v>
      </c>
      <c r="AC8">
        <v>45</v>
      </c>
      <c r="AD8">
        <v>2.3000000044703484E-2</v>
      </c>
      <c r="AE8">
        <v>45</v>
      </c>
      <c r="AF8">
        <v>2.7000000700354576E-2</v>
      </c>
      <c r="AG8">
        <v>45</v>
      </c>
      <c r="AH8">
        <v>2.7000000700354576E-2</v>
      </c>
      <c r="AI8">
        <v>45</v>
      </c>
      <c r="AJ8">
        <v>3.5999998450279236E-2</v>
      </c>
      <c r="AK8">
        <v>46</v>
      </c>
      <c r="AL8">
        <v>2.4000000208616257E-2</v>
      </c>
      <c r="AM8">
        <v>44</v>
      </c>
      <c r="AN8">
        <v>2.4000000208616257E-2</v>
      </c>
      <c r="AO8">
        <v>45</v>
      </c>
      <c r="AP8">
        <v>2.4000000208616257E-2</v>
      </c>
    </row>
    <row r="9" spans="2:42" x14ac:dyDescent="0.2">
      <c r="B9" t="s">
        <v>150</v>
      </c>
      <c r="C9">
        <v>431</v>
      </c>
      <c r="D9">
        <v>3.6389999389648438</v>
      </c>
      <c r="E9">
        <v>431</v>
      </c>
      <c r="F9">
        <v>3.9419999122619629</v>
      </c>
      <c r="G9">
        <v>431</v>
      </c>
      <c r="H9">
        <v>2.5150001049041748</v>
      </c>
      <c r="I9">
        <v>431</v>
      </c>
      <c r="J9">
        <v>3.4730000495910645</v>
      </c>
      <c r="K9">
        <v>435</v>
      </c>
      <c r="L9">
        <v>2.5610001087188721</v>
      </c>
      <c r="M9">
        <v>431</v>
      </c>
      <c r="N9">
        <v>3.624000072479248</v>
      </c>
      <c r="O9">
        <v>430</v>
      </c>
      <c r="P9">
        <v>2.8429999351501465</v>
      </c>
      <c r="Q9">
        <v>430</v>
      </c>
      <c r="R9">
        <v>2.559999942779541</v>
      </c>
      <c r="S9">
        <v>431</v>
      </c>
      <c r="T9">
        <v>3.3710000514984131</v>
      </c>
      <c r="U9">
        <v>430</v>
      </c>
      <c r="V9">
        <v>4.2950000762939453</v>
      </c>
      <c r="W9">
        <v>431</v>
      </c>
      <c r="X9">
        <v>3.7709999084472656</v>
      </c>
      <c r="Y9">
        <v>433</v>
      </c>
      <c r="Z9">
        <v>2.8710000514984131</v>
      </c>
      <c r="AA9">
        <v>430</v>
      </c>
      <c r="AB9">
        <v>3.8959999084472656</v>
      </c>
      <c r="AC9">
        <v>433</v>
      </c>
      <c r="AD9">
        <v>5.5659999847412109</v>
      </c>
      <c r="AE9">
        <v>431</v>
      </c>
      <c r="AF9">
        <v>2.755000114440918</v>
      </c>
      <c r="AG9">
        <v>431</v>
      </c>
      <c r="AH9">
        <v>4.054999828338623</v>
      </c>
      <c r="AI9">
        <v>431</v>
      </c>
      <c r="AJ9">
        <v>3.3870000839233398</v>
      </c>
      <c r="AK9">
        <v>442</v>
      </c>
      <c r="AL9">
        <v>2.3220000267028809</v>
      </c>
      <c r="AM9">
        <v>442</v>
      </c>
      <c r="AN9">
        <v>3.0929999351501465</v>
      </c>
      <c r="AO9">
        <v>431</v>
      </c>
      <c r="AP9">
        <v>2.3259999752044678</v>
      </c>
    </row>
    <row r="10" spans="2:42" x14ac:dyDescent="0.2">
      <c r="B10" t="s">
        <v>151</v>
      </c>
      <c r="C10">
        <v>36</v>
      </c>
      <c r="D10">
        <v>2.0000000949949026E-3</v>
      </c>
      <c r="E10">
        <v>36</v>
      </c>
      <c r="F10">
        <v>4.0000001899898052E-3</v>
      </c>
      <c r="G10">
        <v>36</v>
      </c>
      <c r="H10">
        <v>4.0000001899898052E-3</v>
      </c>
      <c r="I10">
        <v>36</v>
      </c>
      <c r="J10">
        <v>2.0000000949949026E-3</v>
      </c>
      <c r="K10">
        <v>36</v>
      </c>
      <c r="L10">
        <v>3.0000000260770321E-3</v>
      </c>
      <c r="M10">
        <v>36</v>
      </c>
      <c r="N10">
        <v>2.0000000949949026E-3</v>
      </c>
      <c r="O10">
        <v>36</v>
      </c>
      <c r="P10">
        <v>4.0000001899898052E-3</v>
      </c>
      <c r="Q10">
        <v>36</v>
      </c>
      <c r="R10">
        <v>2.0000000949949026E-3</v>
      </c>
      <c r="S10">
        <v>36</v>
      </c>
      <c r="T10">
        <v>2.0000000949949026E-3</v>
      </c>
      <c r="U10">
        <v>36</v>
      </c>
      <c r="V10">
        <v>3.0000000260770321E-3</v>
      </c>
      <c r="W10">
        <v>36</v>
      </c>
      <c r="X10">
        <v>2.0000000949949026E-3</v>
      </c>
      <c r="Y10">
        <v>36</v>
      </c>
      <c r="Z10">
        <v>3.0000000260770321E-3</v>
      </c>
      <c r="AA10">
        <v>36</v>
      </c>
      <c r="AB10">
        <v>2.0000000949949026E-3</v>
      </c>
      <c r="AC10">
        <v>36</v>
      </c>
      <c r="AD10">
        <v>4.0000001899898052E-3</v>
      </c>
      <c r="AE10">
        <v>36</v>
      </c>
      <c r="AF10">
        <v>2.0000000949949026E-3</v>
      </c>
      <c r="AG10">
        <v>36</v>
      </c>
      <c r="AH10">
        <v>2.0000000949949026E-3</v>
      </c>
      <c r="AI10">
        <v>36</v>
      </c>
      <c r="AJ10">
        <v>3.0000000260770321E-3</v>
      </c>
      <c r="AK10">
        <v>36</v>
      </c>
      <c r="AL10">
        <v>2.0000000949949026E-3</v>
      </c>
      <c r="AM10">
        <v>36</v>
      </c>
      <c r="AN10">
        <v>2.0000000949949026E-3</v>
      </c>
      <c r="AO10">
        <v>36</v>
      </c>
      <c r="AP10">
        <v>3.0000000260770321E-3</v>
      </c>
    </row>
    <row r="11" spans="2:42" x14ac:dyDescent="0.2">
      <c r="B11" t="s">
        <v>152</v>
      </c>
      <c r="C11">
        <v>42</v>
      </c>
      <c r="D11">
        <v>3.0000000260770321E-3</v>
      </c>
      <c r="E11">
        <v>42</v>
      </c>
      <c r="F11">
        <v>3.0000000260770321E-3</v>
      </c>
      <c r="G11">
        <v>42</v>
      </c>
      <c r="H11">
        <v>3.0000000260770321E-3</v>
      </c>
      <c r="I11">
        <v>42</v>
      </c>
      <c r="J11">
        <v>3.0000000260770321E-3</v>
      </c>
      <c r="K11">
        <v>42</v>
      </c>
      <c r="L11">
        <v>3.0000000260770321E-3</v>
      </c>
      <c r="M11">
        <v>42</v>
      </c>
      <c r="N11">
        <v>3.0000000260770321E-3</v>
      </c>
      <c r="O11">
        <v>42</v>
      </c>
      <c r="P11">
        <v>3.0000000260770321E-3</v>
      </c>
      <c r="Q11">
        <v>42</v>
      </c>
      <c r="R11">
        <v>3.0000000260770321E-3</v>
      </c>
      <c r="S11">
        <v>42</v>
      </c>
      <c r="T11">
        <v>3.0000000260770321E-3</v>
      </c>
      <c r="U11">
        <v>42</v>
      </c>
      <c r="V11">
        <v>3.0000000260770321E-3</v>
      </c>
      <c r="W11">
        <v>42</v>
      </c>
      <c r="X11">
        <v>3.0000000260770321E-3</v>
      </c>
      <c r="Y11">
        <v>42</v>
      </c>
      <c r="Z11">
        <v>3.0000000260770321E-3</v>
      </c>
      <c r="AA11">
        <v>42</v>
      </c>
      <c r="AB11">
        <v>3.0000000260770321E-3</v>
      </c>
      <c r="AC11">
        <v>42</v>
      </c>
      <c r="AD11">
        <v>3.0000000260770321E-3</v>
      </c>
      <c r="AE11">
        <v>42</v>
      </c>
      <c r="AF11">
        <v>3.0000000260770321E-3</v>
      </c>
      <c r="AG11">
        <v>42</v>
      </c>
      <c r="AH11">
        <v>2.0000000949949026E-3</v>
      </c>
      <c r="AI11">
        <v>42</v>
      </c>
      <c r="AJ11">
        <v>3.0000000260770321E-3</v>
      </c>
      <c r="AK11">
        <v>42</v>
      </c>
      <c r="AL11">
        <v>3.0000000260770321E-3</v>
      </c>
      <c r="AM11">
        <v>42</v>
      </c>
      <c r="AN11">
        <v>3.0000000260770321E-3</v>
      </c>
      <c r="AO11">
        <v>42</v>
      </c>
      <c r="AP11">
        <v>3.0000000260770321E-3</v>
      </c>
    </row>
    <row r="12" spans="2:42" x14ac:dyDescent="0.2">
      <c r="B12" t="s">
        <v>153</v>
      </c>
      <c r="C12">
        <v>91</v>
      </c>
      <c r="D12">
        <v>2.500000037252903E-2</v>
      </c>
      <c r="E12">
        <v>91</v>
      </c>
      <c r="F12">
        <v>2.500000037252903E-2</v>
      </c>
      <c r="G12">
        <v>91</v>
      </c>
      <c r="H12">
        <v>2.7000000700354576E-2</v>
      </c>
      <c r="I12">
        <v>91</v>
      </c>
      <c r="J12">
        <v>2.8000000864267349E-2</v>
      </c>
      <c r="K12">
        <v>91</v>
      </c>
      <c r="L12">
        <v>2.9999999329447746E-2</v>
      </c>
      <c r="M12">
        <v>91</v>
      </c>
      <c r="N12">
        <v>2.4000000208616257E-2</v>
      </c>
      <c r="O12">
        <v>91</v>
      </c>
      <c r="P12">
        <v>2.9999999329447746E-2</v>
      </c>
      <c r="Q12">
        <v>91</v>
      </c>
      <c r="R12">
        <v>2.6000000536441803E-2</v>
      </c>
      <c r="S12">
        <v>93</v>
      </c>
      <c r="T12">
        <v>2.4000000208616257E-2</v>
      </c>
      <c r="U12">
        <v>91</v>
      </c>
      <c r="V12">
        <v>2.500000037252903E-2</v>
      </c>
      <c r="W12">
        <v>91</v>
      </c>
      <c r="X12">
        <v>2.4000000208616257E-2</v>
      </c>
      <c r="Y12">
        <v>91</v>
      </c>
      <c r="Z12">
        <v>2.9999999329447746E-2</v>
      </c>
      <c r="AA12">
        <v>91</v>
      </c>
      <c r="AB12">
        <v>2.500000037252903E-2</v>
      </c>
      <c r="AC12">
        <v>91</v>
      </c>
      <c r="AD12">
        <v>2.4000000208616257E-2</v>
      </c>
      <c r="AE12">
        <v>91</v>
      </c>
      <c r="AF12">
        <v>2.500000037252903E-2</v>
      </c>
      <c r="AG12">
        <v>91</v>
      </c>
      <c r="AH12">
        <v>2.6000000536441803E-2</v>
      </c>
      <c r="AI12">
        <v>91</v>
      </c>
      <c r="AJ12">
        <v>3.2999999821186066E-2</v>
      </c>
      <c r="AK12">
        <v>91</v>
      </c>
      <c r="AL12">
        <v>2.7000000700354576E-2</v>
      </c>
      <c r="AM12">
        <v>91</v>
      </c>
      <c r="AN12">
        <v>2.7000000700354576E-2</v>
      </c>
      <c r="AO12">
        <v>91</v>
      </c>
      <c r="AP12">
        <v>2.8999999165534973E-2</v>
      </c>
    </row>
    <row r="13" spans="2:42" x14ac:dyDescent="0.2">
      <c r="B13" t="s">
        <v>8</v>
      </c>
      <c r="C13">
        <v>180</v>
      </c>
      <c r="D13">
        <v>0.55199998617172241</v>
      </c>
      <c r="E13">
        <v>180</v>
      </c>
      <c r="F13">
        <v>0.61500000953674316</v>
      </c>
      <c r="G13">
        <v>181</v>
      </c>
      <c r="H13">
        <v>0.52999997138977051</v>
      </c>
      <c r="I13">
        <v>180</v>
      </c>
      <c r="J13">
        <v>0.50400000810623169</v>
      </c>
      <c r="K13">
        <v>180</v>
      </c>
      <c r="L13">
        <v>0.60799998044967651</v>
      </c>
      <c r="M13">
        <v>180</v>
      </c>
      <c r="N13">
        <v>0.62900000810623169</v>
      </c>
      <c r="O13">
        <v>180</v>
      </c>
      <c r="P13">
        <v>0.5899999737739563</v>
      </c>
      <c r="Q13">
        <v>180</v>
      </c>
      <c r="R13">
        <v>0.66500002145767212</v>
      </c>
      <c r="S13">
        <v>180</v>
      </c>
      <c r="T13">
        <v>0.414000004529953</v>
      </c>
      <c r="U13">
        <v>181</v>
      </c>
      <c r="V13">
        <v>0.49300000071525574</v>
      </c>
      <c r="W13">
        <v>180</v>
      </c>
      <c r="X13">
        <v>0.46599999070167542</v>
      </c>
      <c r="Y13">
        <v>182</v>
      </c>
      <c r="Z13">
        <v>0.49900001287460327</v>
      </c>
      <c r="AA13">
        <v>180</v>
      </c>
      <c r="AB13">
        <v>0.45800000429153442</v>
      </c>
      <c r="AC13">
        <v>182</v>
      </c>
      <c r="AD13">
        <v>0.4869999885559082</v>
      </c>
      <c r="AE13">
        <v>180</v>
      </c>
      <c r="AF13">
        <v>0.51999998092651367</v>
      </c>
      <c r="AG13">
        <v>181</v>
      </c>
      <c r="AH13">
        <v>0.47999998927116394</v>
      </c>
      <c r="AI13">
        <v>180</v>
      </c>
      <c r="AJ13">
        <v>0.75700002908706665</v>
      </c>
      <c r="AK13">
        <v>180</v>
      </c>
      <c r="AL13">
        <v>0.72399997711181641</v>
      </c>
      <c r="AM13">
        <v>181</v>
      </c>
      <c r="AN13">
        <v>0.48100000619888306</v>
      </c>
      <c r="AO13">
        <v>181</v>
      </c>
      <c r="AP13">
        <v>0.60199999809265137</v>
      </c>
    </row>
    <row r="14" spans="2:42" x14ac:dyDescent="0.2">
      <c r="B14" t="s">
        <v>154</v>
      </c>
      <c r="C14">
        <v>371</v>
      </c>
      <c r="D14">
        <v>0.47099998593330383</v>
      </c>
      <c r="E14">
        <v>369</v>
      </c>
      <c r="F14">
        <v>1.0140000581741333</v>
      </c>
      <c r="G14">
        <v>371</v>
      </c>
      <c r="H14">
        <v>0.34900000691413879</v>
      </c>
      <c r="I14">
        <v>369</v>
      </c>
      <c r="J14">
        <v>0.43500000238418579</v>
      </c>
      <c r="K14">
        <v>369</v>
      </c>
      <c r="L14">
        <v>0.63099998235702515</v>
      </c>
      <c r="M14">
        <v>371</v>
      </c>
      <c r="N14">
        <v>0.47099998593330383</v>
      </c>
      <c r="O14">
        <v>369</v>
      </c>
      <c r="P14">
        <v>0.50199997425079346</v>
      </c>
      <c r="Q14">
        <v>369</v>
      </c>
      <c r="R14">
        <v>0.51700001955032349</v>
      </c>
      <c r="S14">
        <v>370</v>
      </c>
      <c r="T14">
        <v>0.48199999332427979</v>
      </c>
      <c r="U14">
        <v>370</v>
      </c>
      <c r="V14">
        <v>0.73000001907348633</v>
      </c>
      <c r="W14">
        <v>369</v>
      </c>
      <c r="X14">
        <v>0.45399999618530273</v>
      </c>
      <c r="Y14">
        <v>370</v>
      </c>
      <c r="Z14">
        <v>0.42599999904632568</v>
      </c>
      <c r="AA14">
        <v>371</v>
      </c>
      <c r="AB14">
        <v>0.47999998927116394</v>
      </c>
      <c r="AC14">
        <v>370</v>
      </c>
      <c r="AD14">
        <v>0.4869999885559082</v>
      </c>
      <c r="AE14">
        <v>369</v>
      </c>
      <c r="AF14">
        <v>0.72600001096725464</v>
      </c>
      <c r="AG14">
        <v>369</v>
      </c>
      <c r="AH14">
        <v>0.46700000762939453</v>
      </c>
      <c r="AI14">
        <v>370</v>
      </c>
      <c r="AJ14">
        <v>0.49399998784065247</v>
      </c>
      <c r="AK14">
        <v>370</v>
      </c>
      <c r="AL14">
        <v>0.56999999284744263</v>
      </c>
      <c r="AM14">
        <v>370</v>
      </c>
      <c r="AN14">
        <v>0.3529999852180481</v>
      </c>
      <c r="AO14">
        <v>371</v>
      </c>
      <c r="AP14">
        <v>0.32499998807907104</v>
      </c>
    </row>
    <row r="15" spans="2:42" x14ac:dyDescent="0.2">
      <c r="B15" t="s">
        <v>155</v>
      </c>
      <c r="C15">
        <v>1201</v>
      </c>
      <c r="D15">
        <v>17.753999710083008</v>
      </c>
      <c r="E15">
        <v>1201</v>
      </c>
      <c r="F15">
        <v>12.163000106811523</v>
      </c>
      <c r="G15">
        <v>1203</v>
      </c>
      <c r="H15">
        <v>10.604999542236328</v>
      </c>
      <c r="I15">
        <v>1205</v>
      </c>
      <c r="J15">
        <v>9.0209999084472656</v>
      </c>
      <c r="K15">
        <v>1204</v>
      </c>
      <c r="L15">
        <v>9.805999755859375</v>
      </c>
      <c r="M15">
        <v>1203</v>
      </c>
      <c r="N15">
        <v>12.315999984741211</v>
      </c>
      <c r="O15">
        <v>1206</v>
      </c>
      <c r="P15">
        <v>12.050999641418457</v>
      </c>
      <c r="Q15">
        <v>1204</v>
      </c>
      <c r="R15">
        <v>14.869000434875488</v>
      </c>
      <c r="S15">
        <v>1205</v>
      </c>
      <c r="T15">
        <v>10.234999656677246</v>
      </c>
      <c r="U15">
        <v>1202</v>
      </c>
      <c r="V15">
        <v>18.312000274658203</v>
      </c>
      <c r="W15">
        <v>1205</v>
      </c>
      <c r="X15">
        <v>13.239999771118164</v>
      </c>
      <c r="Y15">
        <v>1204</v>
      </c>
      <c r="Z15">
        <v>9.8629999160766602</v>
      </c>
      <c r="AA15">
        <v>1203</v>
      </c>
      <c r="AB15">
        <v>14.369000434875488</v>
      </c>
      <c r="AC15">
        <v>1202</v>
      </c>
      <c r="AD15">
        <v>11.732999801635742</v>
      </c>
      <c r="AE15">
        <v>1203</v>
      </c>
      <c r="AF15">
        <v>16.805999755859375</v>
      </c>
      <c r="AG15">
        <v>1204</v>
      </c>
      <c r="AH15">
        <v>9.9589996337890625</v>
      </c>
      <c r="AI15">
        <v>1203</v>
      </c>
      <c r="AJ15">
        <v>17.104000091552734</v>
      </c>
      <c r="AK15">
        <v>1205</v>
      </c>
      <c r="AL15">
        <v>17.579999923706055</v>
      </c>
      <c r="AM15">
        <v>1203</v>
      </c>
      <c r="AN15">
        <v>17.184999465942383</v>
      </c>
      <c r="AO15">
        <v>1202</v>
      </c>
      <c r="AP15">
        <v>16.64900016784668</v>
      </c>
    </row>
    <row r="16" spans="2:42" x14ac:dyDescent="0.2">
      <c r="B16" t="s">
        <v>156</v>
      </c>
      <c r="C16">
        <v>1331</v>
      </c>
      <c r="D16">
        <v>21.239999771118164</v>
      </c>
      <c r="E16">
        <v>1331</v>
      </c>
      <c r="F16">
        <v>17.870000839233398</v>
      </c>
      <c r="G16">
        <v>1329</v>
      </c>
      <c r="H16">
        <v>18.874000549316406</v>
      </c>
      <c r="I16">
        <v>1327</v>
      </c>
      <c r="J16">
        <v>15.116000175476074</v>
      </c>
      <c r="K16">
        <v>1326</v>
      </c>
      <c r="L16">
        <v>18.784999847412109</v>
      </c>
      <c r="M16">
        <v>1330</v>
      </c>
      <c r="N16">
        <v>14.902000427246094</v>
      </c>
      <c r="O16">
        <v>1326</v>
      </c>
      <c r="P16">
        <v>26.395000457763672</v>
      </c>
      <c r="Q16">
        <v>1329</v>
      </c>
      <c r="R16">
        <v>20.527999877929688</v>
      </c>
      <c r="S16">
        <v>1328</v>
      </c>
      <c r="T16">
        <v>18.181999206542969</v>
      </c>
      <c r="U16">
        <v>1328</v>
      </c>
      <c r="V16">
        <v>16.705999374389648</v>
      </c>
      <c r="W16">
        <v>1329</v>
      </c>
      <c r="X16">
        <v>18.379999160766602</v>
      </c>
      <c r="Y16">
        <v>1329</v>
      </c>
      <c r="Z16">
        <v>35.090999603271484</v>
      </c>
      <c r="AA16">
        <v>1330</v>
      </c>
      <c r="AB16">
        <v>17.256000518798828</v>
      </c>
      <c r="AC16">
        <v>1331</v>
      </c>
      <c r="AD16">
        <v>18.358999252319336</v>
      </c>
      <c r="AE16">
        <v>1332</v>
      </c>
      <c r="AF16">
        <v>23.243999481201172</v>
      </c>
      <c r="AG16">
        <v>1327</v>
      </c>
      <c r="AH16">
        <v>23.732000350952148</v>
      </c>
      <c r="AI16">
        <v>1328</v>
      </c>
      <c r="AJ16">
        <v>29.781999588012695</v>
      </c>
      <c r="AK16">
        <v>1328</v>
      </c>
      <c r="AL16">
        <v>18.13599967956543</v>
      </c>
      <c r="AM16">
        <v>1328</v>
      </c>
      <c r="AN16">
        <v>23.031000137329102</v>
      </c>
      <c r="AO16">
        <v>1326</v>
      </c>
      <c r="AP16">
        <v>24.333000183105469</v>
      </c>
    </row>
    <row r="17" spans="2:42" x14ac:dyDescent="0.2">
      <c r="B17" t="s">
        <v>9</v>
      </c>
      <c r="C17">
        <v>18</v>
      </c>
      <c r="D17">
        <v>1.9999999552965164E-2</v>
      </c>
      <c r="E17">
        <v>18</v>
      </c>
      <c r="F17">
        <v>2.0999999716877937E-2</v>
      </c>
      <c r="G17">
        <v>18</v>
      </c>
      <c r="H17">
        <v>1.8999999389052391E-2</v>
      </c>
      <c r="I17">
        <v>18</v>
      </c>
      <c r="J17">
        <v>1.6000000759959221E-2</v>
      </c>
      <c r="K17">
        <v>18</v>
      </c>
      <c r="L17">
        <v>1.7000000923871994E-2</v>
      </c>
      <c r="M17">
        <v>18</v>
      </c>
      <c r="N17">
        <v>1.4999999664723873E-2</v>
      </c>
      <c r="O17">
        <v>18</v>
      </c>
      <c r="P17">
        <v>2.4000000208616257E-2</v>
      </c>
      <c r="Q17">
        <v>18</v>
      </c>
      <c r="R17">
        <v>2.199999988079071E-2</v>
      </c>
      <c r="S17">
        <v>18</v>
      </c>
      <c r="T17">
        <v>1.6000000759959221E-2</v>
      </c>
      <c r="U17">
        <v>18</v>
      </c>
      <c r="V17">
        <v>2.0999999716877937E-2</v>
      </c>
      <c r="W17">
        <v>18</v>
      </c>
      <c r="X17">
        <v>1.8999999389052391E-2</v>
      </c>
      <c r="Y17">
        <v>18</v>
      </c>
      <c r="Z17">
        <v>2.8999999165534973E-2</v>
      </c>
      <c r="AA17">
        <v>18</v>
      </c>
      <c r="AB17">
        <v>1.7999999225139618E-2</v>
      </c>
      <c r="AC17">
        <v>18</v>
      </c>
      <c r="AD17">
        <v>1.8999999389052391E-2</v>
      </c>
      <c r="AE17">
        <v>18</v>
      </c>
      <c r="AF17">
        <v>1.7000000923871994E-2</v>
      </c>
      <c r="AG17">
        <v>18</v>
      </c>
      <c r="AH17">
        <v>2.0999999716877937E-2</v>
      </c>
      <c r="AI17">
        <v>18</v>
      </c>
      <c r="AJ17">
        <v>1.7000000923871994E-2</v>
      </c>
      <c r="AK17">
        <v>18</v>
      </c>
      <c r="AL17">
        <v>2.9999999329447746E-2</v>
      </c>
      <c r="AM17">
        <v>18</v>
      </c>
      <c r="AN17">
        <v>1.8999999389052391E-2</v>
      </c>
      <c r="AO17">
        <v>18</v>
      </c>
      <c r="AP17">
        <v>1.7999999225139618E-2</v>
      </c>
    </row>
    <row r="18" spans="2:42" x14ac:dyDescent="0.2">
      <c r="B18" t="s">
        <v>157</v>
      </c>
      <c r="C18">
        <v>3</v>
      </c>
      <c r="D18">
        <v>3.062999963760376</v>
      </c>
      <c r="E18">
        <v>3</v>
      </c>
      <c r="F18">
        <v>3.25</v>
      </c>
      <c r="G18">
        <v>3</v>
      </c>
      <c r="H18">
        <v>3.190000057220459</v>
      </c>
      <c r="I18">
        <v>3</v>
      </c>
      <c r="J18">
        <v>3.1630001068115234</v>
      </c>
      <c r="K18">
        <v>3</v>
      </c>
      <c r="L18">
        <v>2.999000072479248</v>
      </c>
      <c r="M18">
        <v>3</v>
      </c>
      <c r="N18">
        <v>3.0999999046325684</v>
      </c>
      <c r="O18">
        <v>3</v>
      </c>
      <c r="P18">
        <v>2.9879999160766602</v>
      </c>
      <c r="Q18">
        <v>3</v>
      </c>
      <c r="R18">
        <v>3.1119999885559082</v>
      </c>
      <c r="S18">
        <v>3</v>
      </c>
      <c r="T18">
        <v>3.0859999656677246</v>
      </c>
      <c r="U18">
        <v>3</v>
      </c>
      <c r="V18">
        <v>3.3259999752044678</v>
      </c>
      <c r="W18">
        <v>3</v>
      </c>
      <c r="X18">
        <v>3.2750000953674316</v>
      </c>
      <c r="Y18">
        <v>3</v>
      </c>
      <c r="Z18">
        <v>3.2049999237060547</v>
      </c>
      <c r="AA18">
        <v>3</v>
      </c>
      <c r="AB18">
        <v>3.1429998874664307</v>
      </c>
      <c r="AC18">
        <v>3</v>
      </c>
      <c r="AD18">
        <v>3.1429998874664307</v>
      </c>
      <c r="AE18">
        <v>3</v>
      </c>
      <c r="AF18">
        <v>3.1700000762939453</v>
      </c>
      <c r="AG18">
        <v>3</v>
      </c>
      <c r="AH18">
        <v>3.252000093460083</v>
      </c>
      <c r="AI18">
        <v>3</v>
      </c>
      <c r="AJ18">
        <v>3.2009999752044678</v>
      </c>
      <c r="AK18">
        <v>3</v>
      </c>
      <c r="AL18">
        <v>3.1189999580383301</v>
      </c>
      <c r="AM18">
        <v>3</v>
      </c>
      <c r="AN18">
        <v>3.0920000076293945</v>
      </c>
      <c r="AO18">
        <v>3</v>
      </c>
      <c r="AP18">
        <v>3.1129999160766602</v>
      </c>
    </row>
    <row r="19" spans="2:42" x14ac:dyDescent="0.2">
      <c r="B19" t="s">
        <v>158</v>
      </c>
      <c r="C19">
        <v>62</v>
      </c>
      <c r="D19">
        <v>1.7000000923871994E-2</v>
      </c>
      <c r="E19">
        <v>62</v>
      </c>
      <c r="F19">
        <v>2.199999988079071E-2</v>
      </c>
      <c r="G19">
        <v>62</v>
      </c>
      <c r="H19">
        <v>1.7999999225139618E-2</v>
      </c>
      <c r="I19">
        <v>62</v>
      </c>
      <c r="J19">
        <v>1.7999999225139618E-2</v>
      </c>
      <c r="K19">
        <v>62</v>
      </c>
      <c r="L19">
        <v>1.7999999225139618E-2</v>
      </c>
      <c r="M19">
        <v>62</v>
      </c>
      <c r="N19">
        <v>1.9999999552965164E-2</v>
      </c>
      <c r="O19">
        <v>62</v>
      </c>
      <c r="P19">
        <v>1.9999999552965164E-2</v>
      </c>
      <c r="Q19">
        <v>62</v>
      </c>
      <c r="R19">
        <v>1.8999999389052391E-2</v>
      </c>
      <c r="S19">
        <v>62</v>
      </c>
      <c r="T19">
        <v>1.7000000923871994E-2</v>
      </c>
      <c r="U19">
        <v>62</v>
      </c>
      <c r="V19">
        <v>1.9999999552965164E-2</v>
      </c>
      <c r="W19">
        <v>62</v>
      </c>
      <c r="X19">
        <v>1.8999999389052391E-2</v>
      </c>
      <c r="Y19">
        <v>62</v>
      </c>
      <c r="Z19">
        <v>2.199999988079071E-2</v>
      </c>
      <c r="AA19">
        <v>62</v>
      </c>
      <c r="AB19">
        <v>2.0999999716877937E-2</v>
      </c>
      <c r="AC19">
        <v>62</v>
      </c>
      <c r="AD19">
        <v>2.0999999716877937E-2</v>
      </c>
      <c r="AE19">
        <v>62</v>
      </c>
      <c r="AF19">
        <v>1.7000000923871994E-2</v>
      </c>
      <c r="AG19">
        <v>62</v>
      </c>
      <c r="AH19">
        <v>2.500000037252903E-2</v>
      </c>
      <c r="AI19">
        <v>62</v>
      </c>
      <c r="AJ19">
        <v>3.2999999821186066E-2</v>
      </c>
      <c r="AK19">
        <v>62</v>
      </c>
      <c r="AL19">
        <v>1.7999999225139618E-2</v>
      </c>
      <c r="AM19">
        <v>62</v>
      </c>
      <c r="AN19">
        <v>1.9999999552965164E-2</v>
      </c>
      <c r="AO19">
        <v>62</v>
      </c>
      <c r="AP19">
        <v>2.500000037252903E-2</v>
      </c>
    </row>
    <row r="20" spans="2:42" x14ac:dyDescent="0.2">
      <c r="B20" t="s">
        <v>159</v>
      </c>
      <c r="C20">
        <v>24</v>
      </c>
      <c r="D20">
        <v>1.0349999666213989</v>
      </c>
      <c r="E20">
        <v>24</v>
      </c>
      <c r="F20">
        <v>1.1319999694824219</v>
      </c>
      <c r="G20">
        <v>24</v>
      </c>
      <c r="H20">
        <v>1.190000057220459</v>
      </c>
      <c r="I20">
        <v>24</v>
      </c>
      <c r="J20">
        <v>1.0249999761581421</v>
      </c>
      <c r="K20">
        <v>24</v>
      </c>
      <c r="L20">
        <v>1.2130000591278076</v>
      </c>
      <c r="M20">
        <v>24</v>
      </c>
      <c r="N20">
        <v>1.1419999599456787</v>
      </c>
      <c r="O20">
        <v>23</v>
      </c>
      <c r="P20">
        <v>1.7289999723434448</v>
      </c>
      <c r="Q20">
        <v>22</v>
      </c>
      <c r="R20">
        <v>3.119999885559082</v>
      </c>
      <c r="S20">
        <v>23</v>
      </c>
      <c r="T20">
        <v>1.6759999990463257</v>
      </c>
      <c r="U20">
        <v>24</v>
      </c>
      <c r="V20">
        <v>1.1380000114440918</v>
      </c>
      <c r="W20">
        <v>24</v>
      </c>
      <c r="X20">
        <v>1.1950000524520874</v>
      </c>
      <c r="Y20">
        <v>24</v>
      </c>
      <c r="Z20">
        <v>1.1449999809265137</v>
      </c>
      <c r="AA20">
        <v>24</v>
      </c>
      <c r="AB20">
        <v>1.1080000400543213</v>
      </c>
      <c r="AC20">
        <v>24</v>
      </c>
      <c r="AD20">
        <v>1.0559999942779541</v>
      </c>
      <c r="AE20">
        <v>23</v>
      </c>
      <c r="AF20">
        <v>2.375999927520752</v>
      </c>
      <c r="AG20">
        <v>24</v>
      </c>
      <c r="AH20">
        <v>1.062999963760376</v>
      </c>
      <c r="AI20">
        <v>24</v>
      </c>
      <c r="AJ20">
        <v>1.1150000095367432</v>
      </c>
      <c r="AK20">
        <v>24</v>
      </c>
      <c r="AL20">
        <v>1.0770000219345093</v>
      </c>
      <c r="AM20">
        <v>24</v>
      </c>
      <c r="AN20">
        <v>1.0260000228881836</v>
      </c>
      <c r="AO20">
        <v>24</v>
      </c>
      <c r="AP20">
        <v>1.1390000581741333</v>
      </c>
    </row>
    <row r="21" spans="2:42" x14ac:dyDescent="0.2">
      <c r="B21" t="s">
        <v>160</v>
      </c>
      <c r="C21">
        <v>1061</v>
      </c>
      <c r="D21">
        <v>22.406999588012695</v>
      </c>
      <c r="E21">
        <v>1060</v>
      </c>
      <c r="F21">
        <v>14.314999580383301</v>
      </c>
      <c r="G21">
        <v>1015</v>
      </c>
      <c r="H21">
        <v>37.104999542236328</v>
      </c>
      <c r="I21">
        <v>1056</v>
      </c>
      <c r="J21">
        <v>24.760000228881836</v>
      </c>
      <c r="K21">
        <v>1066</v>
      </c>
      <c r="L21">
        <v>18.718000411987305</v>
      </c>
      <c r="M21">
        <v>1060</v>
      </c>
      <c r="N21">
        <v>22.832000732421875</v>
      </c>
      <c r="O21">
        <v>1041</v>
      </c>
      <c r="P21">
        <v>39.643001556396484</v>
      </c>
      <c r="Q21">
        <v>1062</v>
      </c>
      <c r="R21">
        <v>21.805000305175781</v>
      </c>
      <c r="S21">
        <v>1064</v>
      </c>
      <c r="T21">
        <v>13.411999702453613</v>
      </c>
      <c r="U21">
        <v>1062</v>
      </c>
      <c r="V21">
        <v>14.824000358581543</v>
      </c>
      <c r="W21">
        <v>1065</v>
      </c>
      <c r="X21">
        <v>25.150999069213867</v>
      </c>
      <c r="Y21">
        <v>1051</v>
      </c>
      <c r="Z21">
        <v>24.608999252319336</v>
      </c>
      <c r="AA21">
        <v>1081</v>
      </c>
      <c r="AB21">
        <v>8.8509998321533203</v>
      </c>
      <c r="AC21">
        <v>1079</v>
      </c>
      <c r="AD21">
        <v>9.0159997940063477</v>
      </c>
      <c r="AE21">
        <v>1040</v>
      </c>
      <c r="AF21">
        <v>33.234001159667969</v>
      </c>
      <c r="AG21">
        <v>1051</v>
      </c>
      <c r="AH21">
        <v>17.86400032043457</v>
      </c>
      <c r="AI21">
        <v>1047</v>
      </c>
      <c r="AJ21">
        <v>42.669998168945312</v>
      </c>
      <c r="AK21">
        <v>1048</v>
      </c>
      <c r="AL21">
        <v>34.911998748779297</v>
      </c>
      <c r="AM21">
        <v>1058</v>
      </c>
      <c r="AN21">
        <v>17.333999633789062</v>
      </c>
      <c r="AO21">
        <v>1065</v>
      </c>
      <c r="AP21">
        <v>16.056999206542969</v>
      </c>
    </row>
    <row r="22" spans="2:42" x14ac:dyDescent="0.2">
      <c r="B22" t="s">
        <v>10</v>
      </c>
      <c r="C22">
        <v>333</v>
      </c>
      <c r="D22">
        <v>16.715999603271484</v>
      </c>
      <c r="E22">
        <v>334</v>
      </c>
      <c r="F22">
        <v>20.326999664306641</v>
      </c>
      <c r="G22">
        <v>333</v>
      </c>
      <c r="H22">
        <v>15.142999649047852</v>
      </c>
      <c r="I22">
        <v>333</v>
      </c>
      <c r="J22">
        <v>19.492000579833984</v>
      </c>
      <c r="K22">
        <v>334</v>
      </c>
      <c r="L22">
        <v>15.043000221252441</v>
      </c>
      <c r="M22">
        <v>333</v>
      </c>
      <c r="N22">
        <v>30.768999099731445</v>
      </c>
      <c r="O22">
        <v>335</v>
      </c>
      <c r="P22">
        <v>18.66200065612793</v>
      </c>
      <c r="Q22">
        <v>332</v>
      </c>
      <c r="R22">
        <v>24.152000427246094</v>
      </c>
      <c r="S22">
        <v>334</v>
      </c>
      <c r="T22">
        <v>22.881000518798828</v>
      </c>
      <c r="U22">
        <v>335</v>
      </c>
      <c r="V22">
        <v>15.246999740600586</v>
      </c>
      <c r="W22">
        <v>335</v>
      </c>
      <c r="X22">
        <v>17.844999313354492</v>
      </c>
      <c r="Y22">
        <v>333</v>
      </c>
      <c r="Z22">
        <v>19.51099967956543</v>
      </c>
      <c r="AA22">
        <v>332</v>
      </c>
      <c r="AB22">
        <v>13.326000213623047</v>
      </c>
      <c r="AC22">
        <v>332</v>
      </c>
      <c r="AD22">
        <v>17.188999176025391</v>
      </c>
      <c r="AE22">
        <v>334</v>
      </c>
      <c r="AF22">
        <v>14.25100040435791</v>
      </c>
      <c r="AG22">
        <v>334</v>
      </c>
      <c r="AH22">
        <v>19.069000244140625</v>
      </c>
      <c r="AI22">
        <v>333</v>
      </c>
      <c r="AJ22">
        <v>18.722000122070312</v>
      </c>
      <c r="AK22">
        <v>334</v>
      </c>
      <c r="AL22">
        <v>20.839000701904297</v>
      </c>
      <c r="AM22">
        <v>333</v>
      </c>
      <c r="AN22">
        <v>20.243999481201172</v>
      </c>
      <c r="AO22">
        <v>333</v>
      </c>
      <c r="AP22">
        <v>14.173000335693359</v>
      </c>
    </row>
    <row r="23" spans="2:42" x14ac:dyDescent="0.2">
      <c r="B23" t="s">
        <v>161</v>
      </c>
      <c r="C23">
        <v>228</v>
      </c>
      <c r="D23">
        <v>5.1500000953674316</v>
      </c>
      <c r="E23">
        <v>228</v>
      </c>
      <c r="F23">
        <v>5.5580000877380371</v>
      </c>
      <c r="G23">
        <v>226</v>
      </c>
      <c r="H23">
        <v>7.314000129699707</v>
      </c>
      <c r="I23">
        <v>227</v>
      </c>
      <c r="J23">
        <v>4.6970000267028809</v>
      </c>
      <c r="K23">
        <v>226</v>
      </c>
      <c r="L23">
        <v>9.6420001983642578</v>
      </c>
      <c r="M23">
        <v>227</v>
      </c>
      <c r="N23">
        <v>5.1380000114440918</v>
      </c>
      <c r="O23">
        <v>227</v>
      </c>
      <c r="P23">
        <v>7.0619997978210449</v>
      </c>
      <c r="Q23">
        <v>227</v>
      </c>
      <c r="R23">
        <v>4.9340000152587891</v>
      </c>
      <c r="S23">
        <v>228</v>
      </c>
      <c r="T23">
        <v>4.445000171661377</v>
      </c>
      <c r="U23">
        <v>226</v>
      </c>
      <c r="V23">
        <v>11.039999961853027</v>
      </c>
      <c r="W23">
        <v>227</v>
      </c>
      <c r="X23">
        <v>4.5269999504089355</v>
      </c>
      <c r="Y23">
        <v>227</v>
      </c>
      <c r="Z23">
        <v>4.9000000953674316</v>
      </c>
      <c r="AA23">
        <v>227</v>
      </c>
      <c r="AB23">
        <v>7.5240001678466797</v>
      </c>
      <c r="AC23">
        <v>227</v>
      </c>
      <c r="AD23">
        <v>4.5349998474121094</v>
      </c>
      <c r="AE23">
        <v>226</v>
      </c>
      <c r="AF23">
        <v>8.0260000228881836</v>
      </c>
      <c r="AG23">
        <v>226</v>
      </c>
      <c r="AH23">
        <v>6.6810002326965332</v>
      </c>
      <c r="AI23">
        <v>226</v>
      </c>
      <c r="AJ23">
        <v>7.8909997940063477</v>
      </c>
      <c r="AK23">
        <v>228</v>
      </c>
      <c r="AL23">
        <v>5.745999813079834</v>
      </c>
      <c r="AM23">
        <v>227</v>
      </c>
      <c r="AN23">
        <v>7.0659999847412109</v>
      </c>
      <c r="AO23">
        <v>226</v>
      </c>
      <c r="AP23">
        <v>7.8260002136230469</v>
      </c>
    </row>
    <row r="24" spans="2:42" x14ac:dyDescent="0.2">
      <c r="B24" t="s">
        <v>162</v>
      </c>
      <c r="C24">
        <v>227</v>
      </c>
      <c r="D24">
        <v>5.2020001411437988</v>
      </c>
      <c r="E24">
        <v>226</v>
      </c>
      <c r="F24">
        <v>8.241999626159668</v>
      </c>
      <c r="G24">
        <v>228</v>
      </c>
      <c r="H24">
        <v>6.1170001029968262</v>
      </c>
      <c r="I24">
        <v>227</v>
      </c>
      <c r="J24">
        <v>5.6999998092651367</v>
      </c>
      <c r="K24">
        <v>227</v>
      </c>
      <c r="L24">
        <v>5.7119998931884766</v>
      </c>
      <c r="M24">
        <v>226</v>
      </c>
      <c r="N24">
        <v>8.3360004425048828</v>
      </c>
      <c r="O24">
        <v>226</v>
      </c>
      <c r="P24">
        <v>9.7510004043579102</v>
      </c>
      <c r="Q24">
        <v>226</v>
      </c>
      <c r="R24">
        <v>9.6549997329711914</v>
      </c>
      <c r="S24">
        <v>227</v>
      </c>
      <c r="T24">
        <v>5.4569997787475586</v>
      </c>
      <c r="U24">
        <v>227</v>
      </c>
      <c r="V24">
        <v>5.6649999618530273</v>
      </c>
      <c r="W24">
        <v>227</v>
      </c>
      <c r="X24">
        <v>6.7319998741149902</v>
      </c>
      <c r="Y24">
        <v>227</v>
      </c>
      <c r="Z24">
        <v>9.6499996185302734</v>
      </c>
      <c r="AA24">
        <v>226</v>
      </c>
      <c r="AB24">
        <v>10.064999580383301</v>
      </c>
      <c r="AC24">
        <v>226</v>
      </c>
      <c r="AD24">
        <v>6.6519999504089355</v>
      </c>
      <c r="AE24">
        <v>228</v>
      </c>
      <c r="AF24">
        <v>4.7870001792907715</v>
      </c>
      <c r="AG24">
        <v>227</v>
      </c>
      <c r="AH24">
        <v>9.6450004577636719</v>
      </c>
      <c r="AI24">
        <v>228</v>
      </c>
      <c r="AJ24">
        <v>4.8769998550415039</v>
      </c>
      <c r="AK24">
        <v>226</v>
      </c>
      <c r="AL24">
        <v>7.054999828338623</v>
      </c>
      <c r="AM24">
        <v>226</v>
      </c>
      <c r="AN24">
        <v>9.3570003509521484</v>
      </c>
      <c r="AO24">
        <v>226</v>
      </c>
      <c r="AP24">
        <v>10.178999900817871</v>
      </c>
    </row>
    <row r="25" spans="2:42" x14ac:dyDescent="0.2">
      <c r="B25" t="s">
        <v>163</v>
      </c>
      <c r="C25">
        <v>36</v>
      </c>
      <c r="D25">
        <v>2.9999999329447746E-2</v>
      </c>
      <c r="E25">
        <v>36</v>
      </c>
      <c r="F25">
        <v>2.9999999329447746E-2</v>
      </c>
      <c r="G25">
        <v>36</v>
      </c>
      <c r="H25">
        <v>2.9999999329447746E-2</v>
      </c>
      <c r="I25">
        <v>36</v>
      </c>
      <c r="J25">
        <v>2.8000000864267349E-2</v>
      </c>
      <c r="K25">
        <v>36</v>
      </c>
      <c r="L25">
        <v>3.0999999493360519E-2</v>
      </c>
      <c r="M25">
        <v>36</v>
      </c>
      <c r="N25">
        <v>3.0999999493360519E-2</v>
      </c>
      <c r="O25">
        <v>36</v>
      </c>
      <c r="P25">
        <v>2.7000000700354576E-2</v>
      </c>
      <c r="Q25">
        <v>36</v>
      </c>
      <c r="R25">
        <v>2.8999999165534973E-2</v>
      </c>
      <c r="S25">
        <v>36</v>
      </c>
      <c r="T25">
        <v>2.7000000700354576E-2</v>
      </c>
      <c r="U25">
        <v>36</v>
      </c>
      <c r="V25">
        <v>2.8999999165534973E-2</v>
      </c>
      <c r="W25">
        <v>36</v>
      </c>
      <c r="X25">
        <v>2.9999999329447746E-2</v>
      </c>
      <c r="Y25">
        <v>36</v>
      </c>
      <c r="Z25">
        <v>2.9999999329447746E-2</v>
      </c>
      <c r="AA25">
        <v>36</v>
      </c>
      <c r="AB25">
        <v>2.8999999165534973E-2</v>
      </c>
      <c r="AC25">
        <v>36</v>
      </c>
      <c r="AD25">
        <v>2.8999999165534973E-2</v>
      </c>
      <c r="AE25">
        <v>36</v>
      </c>
      <c r="AF25">
        <v>2.8999999165534973E-2</v>
      </c>
      <c r="AG25">
        <v>36</v>
      </c>
      <c r="AH25">
        <v>3.4000001847743988E-2</v>
      </c>
      <c r="AI25">
        <v>36</v>
      </c>
      <c r="AJ25">
        <v>2.9999999329447746E-2</v>
      </c>
      <c r="AK25">
        <v>36</v>
      </c>
      <c r="AL25">
        <v>2.8999999165534973E-2</v>
      </c>
      <c r="AM25">
        <v>36</v>
      </c>
      <c r="AN25">
        <v>2.8000000864267349E-2</v>
      </c>
      <c r="AO25">
        <v>36</v>
      </c>
      <c r="AP25">
        <v>3.2000001519918442E-2</v>
      </c>
    </row>
    <row r="26" spans="2:42" x14ac:dyDescent="0.2">
      <c r="B26" t="s">
        <v>11</v>
      </c>
      <c r="C26">
        <v>57</v>
      </c>
      <c r="D26">
        <v>8.6999997496604919E-2</v>
      </c>
      <c r="E26">
        <v>57</v>
      </c>
      <c r="F26">
        <v>8.6000002920627594E-2</v>
      </c>
      <c r="G26">
        <v>57</v>
      </c>
      <c r="H26">
        <v>8.6999997496604919E-2</v>
      </c>
      <c r="I26">
        <v>57</v>
      </c>
      <c r="J26">
        <v>8.6999997496604919E-2</v>
      </c>
      <c r="K26">
        <v>57</v>
      </c>
      <c r="L26">
        <v>8.2999996840953827E-2</v>
      </c>
      <c r="M26">
        <v>57</v>
      </c>
      <c r="N26">
        <v>8.6000002920627594E-2</v>
      </c>
      <c r="O26">
        <v>57</v>
      </c>
      <c r="P26">
        <v>8.6999997496604919E-2</v>
      </c>
      <c r="Q26">
        <v>57</v>
      </c>
      <c r="R26">
        <v>9.3999996781349182E-2</v>
      </c>
      <c r="S26">
        <v>57</v>
      </c>
      <c r="T26">
        <v>8.6999997496604919E-2</v>
      </c>
      <c r="U26">
        <v>57</v>
      </c>
      <c r="V26">
        <v>8.6999997496604919E-2</v>
      </c>
      <c r="W26">
        <v>57</v>
      </c>
      <c r="X26">
        <v>8.7999999523162842E-2</v>
      </c>
      <c r="Y26">
        <v>57</v>
      </c>
      <c r="Z26">
        <v>8.7999999523162842E-2</v>
      </c>
      <c r="AA26">
        <v>57</v>
      </c>
      <c r="AB26">
        <v>8.2999996840953827E-2</v>
      </c>
      <c r="AC26">
        <v>57</v>
      </c>
      <c r="AD26">
        <v>8.7999999523162842E-2</v>
      </c>
      <c r="AE26">
        <v>57</v>
      </c>
      <c r="AF26">
        <v>8.6999997496604919E-2</v>
      </c>
      <c r="AG26">
        <v>57</v>
      </c>
      <c r="AH26">
        <v>8.1000000238418579E-2</v>
      </c>
      <c r="AI26">
        <v>57</v>
      </c>
      <c r="AJ26">
        <v>8.1000000238418579E-2</v>
      </c>
      <c r="AK26">
        <v>57</v>
      </c>
      <c r="AL26">
        <v>7.9999998211860657E-2</v>
      </c>
      <c r="AM26">
        <v>57</v>
      </c>
      <c r="AN26">
        <v>8.5000000894069672E-2</v>
      </c>
      <c r="AO26">
        <v>57</v>
      </c>
      <c r="AP26">
        <v>8.2000002264976501E-2</v>
      </c>
    </row>
    <row r="27" spans="2:42" x14ac:dyDescent="0.2">
      <c r="B27" t="s">
        <v>164</v>
      </c>
      <c r="C27">
        <v>66</v>
      </c>
      <c r="D27">
        <v>0.10199999809265137</v>
      </c>
      <c r="E27">
        <v>66</v>
      </c>
      <c r="F27">
        <v>8.7999999523162842E-2</v>
      </c>
      <c r="G27">
        <v>66</v>
      </c>
      <c r="H27">
        <v>9.7999997437000275E-2</v>
      </c>
      <c r="I27">
        <v>66</v>
      </c>
      <c r="J27">
        <v>0.10700000077486038</v>
      </c>
      <c r="K27">
        <v>66</v>
      </c>
      <c r="L27">
        <v>8.6000002920627594E-2</v>
      </c>
      <c r="M27">
        <v>66</v>
      </c>
      <c r="N27">
        <v>9.4999998807907104E-2</v>
      </c>
      <c r="O27">
        <v>66</v>
      </c>
      <c r="P27">
        <v>0.10100000351667404</v>
      </c>
      <c r="Q27">
        <v>66</v>
      </c>
      <c r="R27">
        <v>9.3000002205371857E-2</v>
      </c>
      <c r="S27">
        <v>66</v>
      </c>
      <c r="T27">
        <v>7.9999998211860657E-2</v>
      </c>
      <c r="U27">
        <v>66</v>
      </c>
      <c r="V27">
        <v>9.6000000834465027E-2</v>
      </c>
      <c r="W27">
        <v>66</v>
      </c>
      <c r="X27">
        <v>0.14900000393390656</v>
      </c>
      <c r="Y27">
        <v>66</v>
      </c>
      <c r="Z27">
        <v>9.3000002205371857E-2</v>
      </c>
      <c r="AA27">
        <v>66</v>
      </c>
      <c r="AB27">
        <v>8.1000000238418579E-2</v>
      </c>
      <c r="AC27">
        <v>66</v>
      </c>
      <c r="AD27">
        <v>8.1000000238418579E-2</v>
      </c>
      <c r="AE27">
        <v>66</v>
      </c>
      <c r="AF27">
        <v>9.0999998152256012E-2</v>
      </c>
      <c r="AG27">
        <v>66</v>
      </c>
      <c r="AH27">
        <v>8.5000000894069672E-2</v>
      </c>
      <c r="AI27">
        <v>66</v>
      </c>
      <c r="AJ27">
        <v>8.2999996840953827E-2</v>
      </c>
      <c r="AK27">
        <v>66</v>
      </c>
      <c r="AL27">
        <v>9.2000000178813934E-2</v>
      </c>
      <c r="AM27">
        <v>69</v>
      </c>
      <c r="AN27">
        <v>8.2000002264976501E-2</v>
      </c>
      <c r="AO27">
        <v>66</v>
      </c>
      <c r="AP27">
        <v>8.6000002920627594E-2</v>
      </c>
    </row>
    <row r="28" spans="2:42" x14ac:dyDescent="0.2">
      <c r="B28" t="s">
        <v>165</v>
      </c>
      <c r="C28">
        <v>12</v>
      </c>
      <c r="D28">
        <v>3.0000000260770321E-3</v>
      </c>
      <c r="E28">
        <v>12</v>
      </c>
      <c r="F28">
        <v>4.0000001899898052E-3</v>
      </c>
      <c r="G28">
        <v>12</v>
      </c>
      <c r="H28">
        <v>4.0000001899898052E-3</v>
      </c>
      <c r="I28">
        <v>12</v>
      </c>
      <c r="J28">
        <v>4.0000001899898052E-3</v>
      </c>
      <c r="K28">
        <v>12</v>
      </c>
      <c r="L28">
        <v>4.0000001899898052E-3</v>
      </c>
      <c r="M28">
        <v>12</v>
      </c>
      <c r="N28">
        <v>3.0000000260770321E-3</v>
      </c>
      <c r="O28">
        <v>12</v>
      </c>
      <c r="P28">
        <v>4.0000001899898052E-3</v>
      </c>
      <c r="Q28">
        <v>12</v>
      </c>
      <c r="R28">
        <v>4.0000001899898052E-3</v>
      </c>
      <c r="S28">
        <v>12</v>
      </c>
      <c r="T28">
        <v>4.0000001899898052E-3</v>
      </c>
      <c r="U28">
        <v>12</v>
      </c>
      <c r="V28">
        <v>3.0000000260770321E-3</v>
      </c>
      <c r="W28">
        <v>12</v>
      </c>
      <c r="X28">
        <v>4.0000001899898052E-3</v>
      </c>
      <c r="Y28">
        <v>12</v>
      </c>
      <c r="Z28">
        <v>4.0000001899898052E-3</v>
      </c>
      <c r="AA28">
        <v>12</v>
      </c>
      <c r="AB28">
        <v>4.0000001899898052E-3</v>
      </c>
      <c r="AC28">
        <v>12</v>
      </c>
      <c r="AD28">
        <v>4.0000001899898052E-3</v>
      </c>
      <c r="AE28">
        <v>12</v>
      </c>
      <c r="AF28">
        <v>4.0000001899898052E-3</v>
      </c>
      <c r="AG28">
        <v>12</v>
      </c>
      <c r="AH28">
        <v>4.0000001899898052E-3</v>
      </c>
      <c r="AI28">
        <v>12</v>
      </c>
      <c r="AJ28">
        <v>4.0000001899898052E-3</v>
      </c>
      <c r="AK28">
        <v>12</v>
      </c>
      <c r="AL28">
        <v>3.0000000260770321E-3</v>
      </c>
      <c r="AM28">
        <v>12</v>
      </c>
      <c r="AN28">
        <v>4.0000001899898052E-3</v>
      </c>
      <c r="AO28">
        <v>12</v>
      </c>
      <c r="AP28">
        <v>4.0000001899898052E-3</v>
      </c>
    </row>
    <row r="29" spans="2:42" x14ac:dyDescent="0.2">
      <c r="B29" t="s">
        <v>166</v>
      </c>
      <c r="C29">
        <v>18</v>
      </c>
      <c r="D29">
        <v>1.3000000268220901E-2</v>
      </c>
      <c r="E29">
        <v>18</v>
      </c>
      <c r="F29">
        <v>1.3000000268220901E-2</v>
      </c>
      <c r="G29">
        <v>18</v>
      </c>
      <c r="H29">
        <v>1.3000000268220901E-2</v>
      </c>
      <c r="I29">
        <v>18</v>
      </c>
      <c r="J29">
        <v>1.3000000268220901E-2</v>
      </c>
      <c r="K29">
        <v>18</v>
      </c>
      <c r="L29">
        <v>1.2000000104308128E-2</v>
      </c>
      <c r="M29">
        <v>18</v>
      </c>
      <c r="N29">
        <v>1.3000000268220901E-2</v>
      </c>
      <c r="O29">
        <v>18</v>
      </c>
      <c r="P29">
        <v>1.4000000432133675E-2</v>
      </c>
      <c r="Q29">
        <v>18</v>
      </c>
      <c r="R29">
        <v>1.2000000104308128E-2</v>
      </c>
      <c r="S29">
        <v>18</v>
      </c>
      <c r="T29">
        <v>1.3000000268220901E-2</v>
      </c>
      <c r="U29">
        <v>18</v>
      </c>
      <c r="V29">
        <v>1.3000000268220901E-2</v>
      </c>
      <c r="W29">
        <v>18</v>
      </c>
      <c r="X29">
        <v>1.3000000268220901E-2</v>
      </c>
      <c r="Y29">
        <v>18</v>
      </c>
      <c r="Z29">
        <v>1.3000000268220901E-2</v>
      </c>
      <c r="AA29">
        <v>18</v>
      </c>
      <c r="AB29">
        <v>1.4000000432133675E-2</v>
      </c>
      <c r="AC29">
        <v>18</v>
      </c>
      <c r="AD29">
        <v>1.3000000268220901E-2</v>
      </c>
      <c r="AE29">
        <v>18</v>
      </c>
      <c r="AF29">
        <v>1.3000000268220901E-2</v>
      </c>
      <c r="AG29">
        <v>18</v>
      </c>
      <c r="AH29">
        <v>1.3000000268220901E-2</v>
      </c>
      <c r="AI29">
        <v>18</v>
      </c>
      <c r="AJ29">
        <v>1.4000000432133675E-2</v>
      </c>
      <c r="AK29">
        <v>18</v>
      </c>
      <c r="AL29">
        <v>1.2000000104308128E-2</v>
      </c>
      <c r="AM29">
        <v>18</v>
      </c>
      <c r="AN29">
        <v>1.3000000268220901E-2</v>
      </c>
      <c r="AO29">
        <v>18</v>
      </c>
      <c r="AP29">
        <v>1.4000000432133675E-2</v>
      </c>
    </row>
    <row r="30" spans="2:42" x14ac:dyDescent="0.2">
      <c r="B30" t="s">
        <v>167</v>
      </c>
      <c r="C30">
        <v>46</v>
      </c>
      <c r="D30">
        <v>8.0000003799796104E-3</v>
      </c>
      <c r="E30">
        <v>45</v>
      </c>
      <c r="F30">
        <v>1.6000000759959221E-2</v>
      </c>
      <c r="G30">
        <v>45</v>
      </c>
      <c r="H30">
        <v>1.0999999940395355E-2</v>
      </c>
      <c r="I30">
        <v>45</v>
      </c>
      <c r="J30">
        <v>8.0000003799796104E-3</v>
      </c>
      <c r="K30">
        <v>45</v>
      </c>
      <c r="L30">
        <v>8.0000003799796104E-3</v>
      </c>
      <c r="M30">
        <v>45</v>
      </c>
      <c r="N30">
        <v>8.999999612569809E-3</v>
      </c>
      <c r="O30">
        <v>46</v>
      </c>
      <c r="P30">
        <v>1.3000000268220901E-2</v>
      </c>
      <c r="Q30">
        <v>46</v>
      </c>
      <c r="R30">
        <v>8.999999612569809E-3</v>
      </c>
      <c r="S30">
        <v>45</v>
      </c>
      <c r="T30">
        <v>9.9999997764825821E-3</v>
      </c>
      <c r="U30">
        <v>46</v>
      </c>
      <c r="V30">
        <v>1.3000000268220901E-2</v>
      </c>
      <c r="W30">
        <v>45</v>
      </c>
      <c r="X30">
        <v>9.9999997764825821E-3</v>
      </c>
      <c r="Y30">
        <v>45</v>
      </c>
      <c r="Z30">
        <v>8.999999612569809E-3</v>
      </c>
      <c r="AA30">
        <v>46</v>
      </c>
      <c r="AB30">
        <v>1.4000000432133675E-2</v>
      </c>
      <c r="AC30">
        <v>46</v>
      </c>
      <c r="AD30">
        <v>8.999999612569809E-3</v>
      </c>
      <c r="AE30">
        <v>45</v>
      </c>
      <c r="AF30">
        <v>8.999999612569809E-3</v>
      </c>
      <c r="AG30">
        <v>45</v>
      </c>
      <c r="AH30">
        <v>1.0999999940395355E-2</v>
      </c>
      <c r="AI30">
        <v>45</v>
      </c>
      <c r="AJ30">
        <v>9.9999997764825821E-3</v>
      </c>
      <c r="AK30">
        <v>46</v>
      </c>
      <c r="AL30">
        <v>1.2000000104308128E-2</v>
      </c>
      <c r="AM30">
        <v>46</v>
      </c>
      <c r="AN30">
        <v>1.3000000268220901E-2</v>
      </c>
      <c r="AO30">
        <v>45</v>
      </c>
      <c r="AP30">
        <v>8.999999612569809E-3</v>
      </c>
    </row>
    <row r="31" spans="2:42" x14ac:dyDescent="0.2">
      <c r="B31" t="s">
        <v>168</v>
      </c>
      <c r="C31">
        <v>26</v>
      </c>
      <c r="D31">
        <v>6.5780000686645508</v>
      </c>
      <c r="E31">
        <v>26</v>
      </c>
      <c r="F31">
        <v>6.6770000457763672</v>
      </c>
      <c r="G31">
        <v>26</v>
      </c>
      <c r="H31">
        <v>6.8600001335144043</v>
      </c>
      <c r="I31">
        <v>26</v>
      </c>
      <c r="J31">
        <v>6.5770001411437988</v>
      </c>
      <c r="K31">
        <v>26</v>
      </c>
      <c r="L31">
        <v>5.7220001220703125</v>
      </c>
      <c r="M31">
        <v>26</v>
      </c>
      <c r="N31">
        <v>5.7810001373291016</v>
      </c>
      <c r="O31">
        <v>26</v>
      </c>
      <c r="P31">
        <v>5.7199997901916504</v>
      </c>
      <c r="Q31">
        <v>26</v>
      </c>
      <c r="R31">
        <v>5.8130002021789551</v>
      </c>
      <c r="S31">
        <v>26</v>
      </c>
      <c r="T31">
        <v>5.619999885559082</v>
      </c>
      <c r="U31">
        <v>26</v>
      </c>
      <c r="V31">
        <v>5.7039999961853027</v>
      </c>
      <c r="W31">
        <v>26</v>
      </c>
      <c r="X31">
        <v>5.6810002326965332</v>
      </c>
      <c r="Y31">
        <v>26</v>
      </c>
      <c r="Z31">
        <v>5.7119998931884766</v>
      </c>
      <c r="AA31">
        <v>26</v>
      </c>
      <c r="AB31">
        <v>5.5830001831054688</v>
      </c>
      <c r="AC31">
        <v>26</v>
      </c>
      <c r="AD31">
        <v>5.7699999809265137</v>
      </c>
      <c r="AE31">
        <v>26</v>
      </c>
      <c r="AF31">
        <v>5.690000057220459</v>
      </c>
      <c r="AG31">
        <v>26</v>
      </c>
      <c r="AH31">
        <v>5.7170000076293945</v>
      </c>
      <c r="AI31">
        <v>26</v>
      </c>
      <c r="AJ31">
        <v>5.7270002365112305</v>
      </c>
      <c r="AK31">
        <v>26</v>
      </c>
      <c r="AL31">
        <v>5.7369999885559082</v>
      </c>
      <c r="AM31">
        <v>26</v>
      </c>
      <c r="AN31">
        <v>5.679999828338623</v>
      </c>
      <c r="AO31">
        <v>26</v>
      </c>
      <c r="AP31">
        <v>5.619999885559082</v>
      </c>
    </row>
    <row r="32" spans="2:42" x14ac:dyDescent="0.2">
      <c r="B32" t="s">
        <v>169</v>
      </c>
      <c r="C32">
        <v>26</v>
      </c>
      <c r="D32">
        <v>7.3309998512268066</v>
      </c>
      <c r="E32">
        <v>26</v>
      </c>
      <c r="F32">
        <v>7.434999942779541</v>
      </c>
      <c r="G32">
        <v>26</v>
      </c>
      <c r="H32">
        <v>7.554999828338623</v>
      </c>
      <c r="I32">
        <v>26</v>
      </c>
      <c r="J32">
        <v>7.5590000152587891</v>
      </c>
      <c r="K32">
        <v>26</v>
      </c>
      <c r="L32">
        <v>7.5580000877380371</v>
      </c>
      <c r="M32">
        <v>26</v>
      </c>
      <c r="N32">
        <v>7.445000171661377</v>
      </c>
      <c r="O32">
        <v>26</v>
      </c>
      <c r="P32">
        <v>7.0199999809265137</v>
      </c>
      <c r="Q32">
        <v>26</v>
      </c>
      <c r="R32">
        <v>6.3439998626708984</v>
      </c>
      <c r="S32">
        <v>26</v>
      </c>
      <c r="T32">
        <v>6.3309998512268066</v>
      </c>
      <c r="U32">
        <v>26</v>
      </c>
      <c r="V32">
        <v>6.2270002365112305</v>
      </c>
      <c r="W32">
        <v>26</v>
      </c>
      <c r="X32">
        <v>6.4809999465942383</v>
      </c>
      <c r="Y32">
        <v>26</v>
      </c>
      <c r="Z32">
        <v>6.4770002365112305</v>
      </c>
      <c r="AA32">
        <v>26</v>
      </c>
      <c r="AB32">
        <v>6.3350000381469727</v>
      </c>
      <c r="AC32">
        <v>26</v>
      </c>
      <c r="AD32">
        <v>6.4650001525878906</v>
      </c>
      <c r="AE32">
        <v>26</v>
      </c>
      <c r="AF32">
        <v>6.4149999618530273</v>
      </c>
      <c r="AG32">
        <v>26</v>
      </c>
      <c r="AH32">
        <v>6.3400001525878906</v>
      </c>
      <c r="AI32">
        <v>26</v>
      </c>
      <c r="AJ32">
        <v>6.3680000305175781</v>
      </c>
      <c r="AK32">
        <v>26</v>
      </c>
      <c r="AL32">
        <v>6.4310002326965332</v>
      </c>
      <c r="AM32">
        <v>26</v>
      </c>
      <c r="AN32">
        <v>6.3210000991821289</v>
      </c>
      <c r="AO32">
        <v>26</v>
      </c>
      <c r="AP32">
        <v>6.3540000915527344</v>
      </c>
    </row>
    <row r="33" spans="2:42" x14ac:dyDescent="0.2">
      <c r="B33" t="s">
        <v>12</v>
      </c>
      <c r="C33">
        <v>26</v>
      </c>
      <c r="D33">
        <v>6.5180001258850098</v>
      </c>
      <c r="E33">
        <v>26</v>
      </c>
      <c r="F33">
        <v>6.6119999885559082</v>
      </c>
      <c r="G33">
        <v>26</v>
      </c>
      <c r="H33">
        <v>6.7969999313354492</v>
      </c>
      <c r="I33">
        <v>26</v>
      </c>
      <c r="J33">
        <v>6.6510000228881836</v>
      </c>
      <c r="K33">
        <v>26</v>
      </c>
      <c r="L33">
        <v>6.6409997940063477</v>
      </c>
      <c r="M33">
        <v>26</v>
      </c>
      <c r="N33">
        <v>6.7119998931884766</v>
      </c>
      <c r="O33">
        <v>26</v>
      </c>
      <c r="P33">
        <v>6.6399998664855957</v>
      </c>
      <c r="Q33">
        <v>26</v>
      </c>
      <c r="R33">
        <v>6.75</v>
      </c>
      <c r="S33">
        <v>26</v>
      </c>
      <c r="T33">
        <v>6.5300002098083496</v>
      </c>
      <c r="U33">
        <v>26</v>
      </c>
      <c r="V33">
        <v>6.1230001449584961</v>
      </c>
      <c r="W33">
        <v>26</v>
      </c>
      <c r="X33">
        <v>5.6649999618530273</v>
      </c>
      <c r="Y33">
        <v>26</v>
      </c>
      <c r="Z33">
        <v>5.6970000267028809</v>
      </c>
      <c r="AA33">
        <v>26</v>
      </c>
      <c r="AB33">
        <v>5.570000171661377</v>
      </c>
      <c r="AC33">
        <v>26</v>
      </c>
      <c r="AD33">
        <v>5.754000186920166</v>
      </c>
      <c r="AE33">
        <v>26</v>
      </c>
      <c r="AF33">
        <v>5.6779999732971191</v>
      </c>
      <c r="AG33">
        <v>26</v>
      </c>
      <c r="AH33">
        <v>5.7820000648498535</v>
      </c>
      <c r="AI33">
        <v>26</v>
      </c>
      <c r="AJ33">
        <v>5.7319998741149902</v>
      </c>
      <c r="AK33">
        <v>26</v>
      </c>
      <c r="AL33">
        <v>5.7399997711181641</v>
      </c>
      <c r="AM33">
        <v>26</v>
      </c>
      <c r="AN33">
        <v>5.684999942779541</v>
      </c>
      <c r="AO33">
        <v>26</v>
      </c>
      <c r="AP33">
        <v>5.6189999580383301</v>
      </c>
    </row>
    <row r="34" spans="2:42" x14ac:dyDescent="0.2">
      <c r="B34" t="s">
        <v>170</v>
      </c>
      <c r="C34">
        <v>26</v>
      </c>
      <c r="D34">
        <v>7.1680002212524414</v>
      </c>
      <c r="E34">
        <v>26</v>
      </c>
      <c r="F34">
        <v>6.3470001220703125</v>
      </c>
      <c r="G34">
        <v>26</v>
      </c>
      <c r="H34">
        <v>6.4549999237060547</v>
      </c>
      <c r="I34">
        <v>26</v>
      </c>
      <c r="J34">
        <v>6.4660000801086426</v>
      </c>
      <c r="K34">
        <v>26</v>
      </c>
      <c r="L34">
        <v>6.4710001945495605</v>
      </c>
      <c r="M34">
        <v>26</v>
      </c>
      <c r="N34">
        <v>6.3660001754760742</v>
      </c>
      <c r="O34">
        <v>26</v>
      </c>
      <c r="P34">
        <v>6.3420000076293945</v>
      </c>
      <c r="Q34">
        <v>26</v>
      </c>
      <c r="R34">
        <v>6.3530001640319824</v>
      </c>
      <c r="S34">
        <v>26</v>
      </c>
      <c r="T34">
        <v>6.3429999351501465</v>
      </c>
      <c r="U34">
        <v>26</v>
      </c>
      <c r="V34">
        <v>6.2350001335144043</v>
      </c>
      <c r="W34">
        <v>26</v>
      </c>
      <c r="X34">
        <v>6.4869999885559082</v>
      </c>
      <c r="Y34">
        <v>26</v>
      </c>
      <c r="Z34">
        <v>6.4840002059936523</v>
      </c>
      <c r="AA34">
        <v>26</v>
      </c>
      <c r="AB34">
        <v>6.3330001831054688</v>
      </c>
      <c r="AC34">
        <v>26</v>
      </c>
      <c r="AD34">
        <v>6.4559998512268066</v>
      </c>
      <c r="AE34">
        <v>26</v>
      </c>
      <c r="AF34">
        <v>6.4010000228881836</v>
      </c>
      <c r="AG34">
        <v>26</v>
      </c>
      <c r="AH34">
        <v>6.3280000686645508</v>
      </c>
      <c r="AI34">
        <v>26</v>
      </c>
      <c r="AJ34">
        <v>6.3520002365112305</v>
      </c>
      <c r="AK34">
        <v>26</v>
      </c>
      <c r="AL34">
        <v>6.4140000343322754</v>
      </c>
      <c r="AM34">
        <v>26</v>
      </c>
      <c r="AN34">
        <v>6.3189997673034668</v>
      </c>
      <c r="AO34">
        <v>26</v>
      </c>
      <c r="AP34">
        <v>6.3509998321533203</v>
      </c>
    </row>
    <row r="35" spans="2:42" x14ac:dyDescent="0.2">
      <c r="B35" t="s">
        <v>171</v>
      </c>
      <c r="C35">
        <v>482</v>
      </c>
      <c r="D35">
        <v>4.7740001678466797</v>
      </c>
      <c r="E35">
        <v>478</v>
      </c>
      <c r="F35">
        <v>3.3840000629425049</v>
      </c>
      <c r="G35">
        <v>474</v>
      </c>
      <c r="H35">
        <v>4.7690000534057617</v>
      </c>
      <c r="I35">
        <v>470</v>
      </c>
      <c r="J35">
        <v>4.0529999732971191</v>
      </c>
      <c r="K35">
        <v>490</v>
      </c>
      <c r="L35">
        <v>2.6860001087188721</v>
      </c>
      <c r="M35">
        <v>478</v>
      </c>
      <c r="N35">
        <v>3.1010000705718994</v>
      </c>
      <c r="O35">
        <v>482</v>
      </c>
      <c r="P35">
        <v>4.7740001678466797</v>
      </c>
      <c r="Q35">
        <v>462</v>
      </c>
      <c r="R35">
        <v>9.2760000228881836</v>
      </c>
      <c r="S35">
        <v>476</v>
      </c>
      <c r="T35">
        <v>4.3930001258850098</v>
      </c>
      <c r="U35">
        <v>482</v>
      </c>
      <c r="V35">
        <v>3.4119999408721924</v>
      </c>
      <c r="W35">
        <v>476</v>
      </c>
      <c r="X35">
        <v>7.6630001068115234</v>
      </c>
      <c r="Y35">
        <v>478</v>
      </c>
      <c r="Z35">
        <v>3.5339999198913574</v>
      </c>
      <c r="AA35">
        <v>478</v>
      </c>
      <c r="AB35">
        <v>4.7680001258850098</v>
      </c>
      <c r="AC35">
        <v>470</v>
      </c>
      <c r="AD35">
        <v>4.3239998817443848</v>
      </c>
      <c r="AE35">
        <v>486</v>
      </c>
      <c r="AF35">
        <v>3.875999927520752</v>
      </c>
      <c r="AG35">
        <v>478</v>
      </c>
      <c r="AH35">
        <v>3.0360000133514404</v>
      </c>
      <c r="AI35">
        <v>478</v>
      </c>
      <c r="AJ35">
        <v>3.2799999713897705</v>
      </c>
      <c r="AK35">
        <v>482</v>
      </c>
      <c r="AL35">
        <v>3.2929999828338623</v>
      </c>
      <c r="AM35">
        <v>474</v>
      </c>
      <c r="AN35">
        <v>3.375999927520752</v>
      </c>
      <c r="AO35">
        <v>476</v>
      </c>
      <c r="AP35">
        <v>3.5829999446868896</v>
      </c>
    </row>
    <row r="36" spans="2:42" x14ac:dyDescent="0.2">
      <c r="B36" t="s">
        <v>172</v>
      </c>
      <c r="C36">
        <v>482</v>
      </c>
      <c r="D36">
        <v>4.7849998474121094</v>
      </c>
      <c r="E36">
        <v>478</v>
      </c>
      <c r="F36">
        <v>3.3829998970031738</v>
      </c>
      <c r="G36">
        <v>474</v>
      </c>
      <c r="H36">
        <v>4.7950000762939453</v>
      </c>
      <c r="I36">
        <v>470</v>
      </c>
      <c r="J36">
        <v>4.059999942779541</v>
      </c>
      <c r="K36">
        <v>490</v>
      </c>
      <c r="L36">
        <v>2.6889998912811279</v>
      </c>
      <c r="M36">
        <v>478</v>
      </c>
      <c r="N36">
        <v>3.0929999351501465</v>
      </c>
      <c r="O36">
        <v>482</v>
      </c>
      <c r="P36">
        <v>4.7319998741149902</v>
      </c>
      <c r="Q36">
        <v>462</v>
      </c>
      <c r="R36">
        <v>9.2569999694824219</v>
      </c>
      <c r="S36">
        <v>476</v>
      </c>
      <c r="T36">
        <v>4.4200000762939453</v>
      </c>
      <c r="U36">
        <v>482</v>
      </c>
      <c r="V36">
        <v>3.4040000438690186</v>
      </c>
      <c r="W36">
        <v>476</v>
      </c>
      <c r="X36">
        <v>7.6500000953674316</v>
      </c>
      <c r="Y36">
        <v>478</v>
      </c>
      <c r="Z36">
        <v>3.5320000648498535</v>
      </c>
      <c r="AA36">
        <v>478</v>
      </c>
      <c r="AB36">
        <v>4.7600002288818359</v>
      </c>
      <c r="AC36">
        <v>470</v>
      </c>
      <c r="AD36">
        <v>4.3070001602172852</v>
      </c>
      <c r="AE36">
        <v>486</v>
      </c>
      <c r="AF36">
        <v>3.8810000419616699</v>
      </c>
      <c r="AG36">
        <v>478</v>
      </c>
      <c r="AH36">
        <v>3.0439999103546143</v>
      </c>
      <c r="AI36">
        <v>478</v>
      </c>
      <c r="AJ36">
        <v>3.2869999408721924</v>
      </c>
      <c r="AK36">
        <v>482</v>
      </c>
      <c r="AL36">
        <v>3.2890000343322754</v>
      </c>
      <c r="AM36">
        <v>474</v>
      </c>
      <c r="AN36">
        <v>3.3640000820159912</v>
      </c>
      <c r="AO36">
        <v>476</v>
      </c>
      <c r="AP36">
        <v>3.5859999656677246</v>
      </c>
    </row>
    <row r="37" spans="2:42" x14ac:dyDescent="0.2">
      <c r="B37" t="s">
        <v>173</v>
      </c>
      <c r="C37">
        <v>482</v>
      </c>
      <c r="D37">
        <v>4.8229999542236328</v>
      </c>
      <c r="E37">
        <v>478</v>
      </c>
      <c r="F37">
        <v>3.375999927520752</v>
      </c>
      <c r="G37">
        <v>474</v>
      </c>
      <c r="H37">
        <v>4.7800002098083496</v>
      </c>
      <c r="I37">
        <v>470</v>
      </c>
      <c r="J37">
        <v>4.054999828338623</v>
      </c>
      <c r="K37">
        <v>490</v>
      </c>
      <c r="L37">
        <v>2.6979999542236328</v>
      </c>
      <c r="M37">
        <v>478</v>
      </c>
      <c r="N37">
        <v>3.0950000286102295</v>
      </c>
      <c r="O37">
        <v>482</v>
      </c>
      <c r="P37">
        <v>4.7519998550415039</v>
      </c>
      <c r="Q37">
        <v>462</v>
      </c>
      <c r="R37">
        <v>9.2620000839233398</v>
      </c>
      <c r="S37">
        <v>476</v>
      </c>
      <c r="T37">
        <v>4.4029998779296875</v>
      </c>
      <c r="U37">
        <v>482</v>
      </c>
      <c r="V37">
        <v>3.3919999599456787</v>
      </c>
      <c r="W37">
        <v>476</v>
      </c>
      <c r="X37">
        <v>7.625999927520752</v>
      </c>
      <c r="Y37">
        <v>478</v>
      </c>
      <c r="Z37">
        <v>3.5390000343322754</v>
      </c>
      <c r="AA37">
        <v>478</v>
      </c>
      <c r="AB37">
        <v>4.7800002098083496</v>
      </c>
      <c r="AC37">
        <v>470</v>
      </c>
      <c r="AD37">
        <v>4.304999828338623</v>
      </c>
      <c r="AE37">
        <v>486</v>
      </c>
      <c r="AF37">
        <v>3.8889999389648438</v>
      </c>
      <c r="AG37">
        <v>478</v>
      </c>
      <c r="AH37">
        <v>3.0510001182556152</v>
      </c>
      <c r="AI37">
        <v>478</v>
      </c>
      <c r="AJ37">
        <v>3.2829999923706055</v>
      </c>
      <c r="AK37">
        <v>482</v>
      </c>
      <c r="AL37">
        <v>3.2899999618530273</v>
      </c>
      <c r="AM37">
        <v>474</v>
      </c>
      <c r="AN37">
        <v>3.3789999485015869</v>
      </c>
      <c r="AO37">
        <v>476</v>
      </c>
      <c r="AP37">
        <v>3.5769999027252197</v>
      </c>
    </row>
    <row r="38" spans="2:42" x14ac:dyDescent="0.2">
      <c r="B38" t="s">
        <v>174</v>
      </c>
      <c r="C38">
        <v>482</v>
      </c>
      <c r="D38">
        <v>4.7940001487731934</v>
      </c>
      <c r="E38">
        <v>478</v>
      </c>
      <c r="F38">
        <v>3.3859999179840088</v>
      </c>
      <c r="G38">
        <v>474</v>
      </c>
      <c r="H38">
        <v>4.7919998168945312</v>
      </c>
      <c r="I38">
        <v>470</v>
      </c>
      <c r="J38">
        <v>4.0529999732971191</v>
      </c>
      <c r="K38">
        <v>490</v>
      </c>
      <c r="L38">
        <v>2.6940000057220459</v>
      </c>
      <c r="M38">
        <v>478</v>
      </c>
      <c r="N38">
        <v>3.1080000400543213</v>
      </c>
      <c r="O38">
        <v>482</v>
      </c>
      <c r="P38">
        <v>4.7579998970031738</v>
      </c>
      <c r="Q38">
        <v>462</v>
      </c>
      <c r="R38">
        <v>9.2799997329711914</v>
      </c>
      <c r="S38">
        <v>476</v>
      </c>
      <c r="T38">
        <v>4.4190001487731934</v>
      </c>
      <c r="U38">
        <v>482</v>
      </c>
      <c r="V38">
        <v>3.4119999408721924</v>
      </c>
      <c r="W38">
        <v>476</v>
      </c>
      <c r="X38">
        <v>7.6789999008178711</v>
      </c>
      <c r="Y38">
        <v>478</v>
      </c>
      <c r="Z38">
        <v>3.5420000553131104</v>
      </c>
      <c r="AA38">
        <v>478</v>
      </c>
      <c r="AB38">
        <v>4.7600002288818359</v>
      </c>
      <c r="AC38">
        <v>470</v>
      </c>
      <c r="AD38">
        <v>4.3130002021789551</v>
      </c>
      <c r="AE38">
        <v>486</v>
      </c>
      <c r="AF38">
        <v>3.871999979019165</v>
      </c>
      <c r="AG38">
        <v>478</v>
      </c>
      <c r="AH38">
        <v>3.062000036239624</v>
      </c>
      <c r="AI38">
        <v>478</v>
      </c>
      <c r="AJ38">
        <v>3.2760000228881836</v>
      </c>
      <c r="AK38">
        <v>482</v>
      </c>
      <c r="AL38">
        <v>3.3069999217987061</v>
      </c>
      <c r="AM38">
        <v>474</v>
      </c>
      <c r="AN38">
        <v>3.375999927520752</v>
      </c>
      <c r="AO38">
        <v>476</v>
      </c>
      <c r="AP38">
        <v>3.6050000190734863</v>
      </c>
    </row>
    <row r="39" spans="2:42" x14ac:dyDescent="0.2">
      <c r="B39" t="s">
        <v>175</v>
      </c>
      <c r="C39">
        <v>482</v>
      </c>
      <c r="D39">
        <v>4.7670001983642578</v>
      </c>
      <c r="E39">
        <v>478</v>
      </c>
      <c r="F39">
        <v>3.372999906539917</v>
      </c>
      <c r="G39">
        <v>474</v>
      </c>
      <c r="H39">
        <v>4.7709999084472656</v>
      </c>
      <c r="I39">
        <v>470</v>
      </c>
      <c r="J39">
        <v>4.0739998817443848</v>
      </c>
      <c r="K39">
        <v>490</v>
      </c>
      <c r="L39">
        <v>2.6970000267028809</v>
      </c>
      <c r="M39">
        <v>478</v>
      </c>
      <c r="N39">
        <v>3.0859999656677246</v>
      </c>
      <c r="O39">
        <v>482</v>
      </c>
      <c r="P39">
        <v>4.7470002174377441</v>
      </c>
      <c r="Q39">
        <v>462</v>
      </c>
      <c r="R39">
        <v>9.2469997406005859</v>
      </c>
      <c r="S39">
        <v>476</v>
      </c>
      <c r="T39">
        <v>4.3949999809265137</v>
      </c>
      <c r="U39">
        <v>482</v>
      </c>
      <c r="V39">
        <v>3.3989999294281006</v>
      </c>
      <c r="W39">
        <v>476</v>
      </c>
      <c r="X39">
        <v>7.6370000839233398</v>
      </c>
      <c r="Y39">
        <v>478</v>
      </c>
      <c r="Z39">
        <v>3.5290000438690186</v>
      </c>
      <c r="AA39">
        <v>478</v>
      </c>
      <c r="AB39">
        <v>4.7589998245239258</v>
      </c>
      <c r="AC39">
        <v>470</v>
      </c>
      <c r="AD39">
        <v>4.2930002212524414</v>
      </c>
      <c r="AE39">
        <v>486</v>
      </c>
      <c r="AF39">
        <v>3.8710000514984131</v>
      </c>
      <c r="AG39">
        <v>478</v>
      </c>
      <c r="AH39">
        <v>3.0429999828338623</v>
      </c>
      <c r="AI39">
        <v>478</v>
      </c>
      <c r="AJ39">
        <v>3.2639999389648438</v>
      </c>
      <c r="AK39">
        <v>482</v>
      </c>
      <c r="AL39">
        <v>3.2999999523162842</v>
      </c>
      <c r="AM39">
        <v>474</v>
      </c>
      <c r="AN39">
        <v>3.3599998950958252</v>
      </c>
      <c r="AO39">
        <v>476</v>
      </c>
      <c r="AP39">
        <v>3.6119999885559082</v>
      </c>
    </row>
    <row r="40" spans="2:42" x14ac:dyDescent="0.2">
      <c r="B40" t="s">
        <v>176</v>
      </c>
      <c r="C40">
        <v>482</v>
      </c>
      <c r="D40">
        <v>4.814000129699707</v>
      </c>
      <c r="E40">
        <v>478</v>
      </c>
      <c r="F40">
        <v>3.3629999160766602</v>
      </c>
      <c r="G40">
        <v>474</v>
      </c>
      <c r="H40">
        <v>4.7630000114440918</v>
      </c>
      <c r="I40">
        <v>470</v>
      </c>
      <c r="J40">
        <v>4.0590000152587891</v>
      </c>
      <c r="K40">
        <v>490</v>
      </c>
      <c r="L40">
        <v>2.687000036239624</v>
      </c>
      <c r="M40">
        <v>478</v>
      </c>
      <c r="N40">
        <v>3.0829999446868896</v>
      </c>
      <c r="O40">
        <v>482</v>
      </c>
      <c r="P40">
        <v>4.7410001754760742</v>
      </c>
      <c r="Q40">
        <v>462</v>
      </c>
      <c r="R40">
        <v>9.2650003433227539</v>
      </c>
      <c r="S40">
        <v>476</v>
      </c>
      <c r="T40">
        <v>4.4250001907348633</v>
      </c>
      <c r="U40">
        <v>482</v>
      </c>
      <c r="V40">
        <v>3.3880000114440918</v>
      </c>
      <c r="W40">
        <v>476</v>
      </c>
      <c r="X40">
        <v>7.6550002098083496</v>
      </c>
      <c r="Y40">
        <v>478</v>
      </c>
      <c r="Z40">
        <v>3.5209999084472656</v>
      </c>
      <c r="AA40">
        <v>478</v>
      </c>
      <c r="AB40">
        <v>4.7620000839233398</v>
      </c>
      <c r="AC40">
        <v>470</v>
      </c>
      <c r="AD40">
        <v>4.3000001907348633</v>
      </c>
      <c r="AE40">
        <v>486</v>
      </c>
      <c r="AF40">
        <v>3.8880000114440918</v>
      </c>
      <c r="AG40">
        <v>478</v>
      </c>
      <c r="AH40">
        <v>3.0250000953674316</v>
      </c>
      <c r="AI40">
        <v>478</v>
      </c>
      <c r="AJ40">
        <v>3.247999906539917</v>
      </c>
      <c r="AK40">
        <v>482</v>
      </c>
      <c r="AL40">
        <v>3.255000114440918</v>
      </c>
      <c r="AM40">
        <v>474</v>
      </c>
      <c r="AN40">
        <v>3.3450000286102295</v>
      </c>
      <c r="AO40">
        <v>476</v>
      </c>
      <c r="AP40">
        <v>3.559999942779541</v>
      </c>
    </row>
    <row r="41" spans="2:42" x14ac:dyDescent="0.2">
      <c r="B41" t="s">
        <v>177</v>
      </c>
      <c r="C41">
        <v>24</v>
      </c>
      <c r="D41">
        <v>0.25400000810623169</v>
      </c>
      <c r="E41">
        <v>24</v>
      </c>
      <c r="F41">
        <v>0.25099998712539673</v>
      </c>
      <c r="G41">
        <v>24</v>
      </c>
      <c r="H41">
        <v>0.27300000190734863</v>
      </c>
      <c r="I41">
        <v>24</v>
      </c>
      <c r="J41">
        <v>0.25999999046325684</v>
      </c>
      <c r="K41">
        <v>24</v>
      </c>
      <c r="L41">
        <v>0.25900000333786011</v>
      </c>
      <c r="M41">
        <v>24</v>
      </c>
      <c r="N41">
        <v>0.27700001001358032</v>
      </c>
      <c r="O41">
        <v>24</v>
      </c>
      <c r="P41">
        <v>0.26199999451637268</v>
      </c>
      <c r="Q41">
        <v>24</v>
      </c>
      <c r="R41">
        <v>0.27000001072883606</v>
      </c>
      <c r="S41">
        <v>24</v>
      </c>
      <c r="T41">
        <v>0.26100000739097595</v>
      </c>
      <c r="U41">
        <v>24</v>
      </c>
      <c r="V41">
        <v>0.26199999451637268</v>
      </c>
      <c r="W41">
        <v>24</v>
      </c>
      <c r="X41">
        <v>0.26399999856948853</v>
      </c>
      <c r="Y41">
        <v>24</v>
      </c>
      <c r="Z41">
        <v>0.27399998903274536</v>
      </c>
      <c r="AA41">
        <v>24</v>
      </c>
      <c r="AB41">
        <v>0.26499998569488525</v>
      </c>
      <c r="AC41">
        <v>24</v>
      </c>
      <c r="AD41">
        <v>0.2630000114440918</v>
      </c>
      <c r="AE41">
        <v>24</v>
      </c>
      <c r="AF41">
        <v>0.27300000190734863</v>
      </c>
      <c r="AG41">
        <v>24</v>
      </c>
      <c r="AH41">
        <v>0.26899999380111694</v>
      </c>
      <c r="AI41">
        <v>24</v>
      </c>
      <c r="AJ41">
        <v>0.24799999594688416</v>
      </c>
      <c r="AK41">
        <v>24</v>
      </c>
      <c r="AL41">
        <v>0.25400000810623169</v>
      </c>
      <c r="AM41">
        <v>24</v>
      </c>
      <c r="AN41">
        <v>0.25999999046325684</v>
      </c>
      <c r="AO41">
        <v>24</v>
      </c>
      <c r="AP41">
        <v>0.25099998712539673</v>
      </c>
    </row>
    <row r="42" spans="2:42" x14ac:dyDescent="0.2">
      <c r="B42" t="s">
        <v>178</v>
      </c>
      <c r="C42">
        <v>148</v>
      </c>
      <c r="D42">
        <v>11.515000343322754</v>
      </c>
      <c r="E42">
        <v>150</v>
      </c>
      <c r="F42">
        <v>10.809000015258789</v>
      </c>
      <c r="G42">
        <v>146</v>
      </c>
      <c r="H42">
        <v>14.60200023651123</v>
      </c>
      <c r="I42">
        <v>149</v>
      </c>
      <c r="J42">
        <v>16.586999893188477</v>
      </c>
      <c r="K42">
        <v>148</v>
      </c>
      <c r="L42">
        <v>16.465999603271484</v>
      </c>
      <c r="M42">
        <v>147</v>
      </c>
      <c r="N42">
        <v>20.96299934387207</v>
      </c>
      <c r="O42">
        <v>146</v>
      </c>
      <c r="P42">
        <v>23.652999877929688</v>
      </c>
      <c r="Q42">
        <v>147</v>
      </c>
      <c r="R42">
        <v>12.21399974822998</v>
      </c>
      <c r="S42">
        <v>149</v>
      </c>
      <c r="T42">
        <v>11.329999923706055</v>
      </c>
      <c r="U42">
        <v>150</v>
      </c>
      <c r="V42">
        <v>11.534000396728516</v>
      </c>
      <c r="W42">
        <v>146</v>
      </c>
      <c r="X42">
        <v>24.222999572753906</v>
      </c>
      <c r="Y42">
        <v>151</v>
      </c>
      <c r="Z42">
        <v>15.583000183105469</v>
      </c>
      <c r="AA42">
        <v>149</v>
      </c>
      <c r="AB42">
        <v>11.934000015258789</v>
      </c>
      <c r="AC42">
        <v>149</v>
      </c>
      <c r="AD42">
        <v>12.512999534606934</v>
      </c>
      <c r="AE42">
        <v>148</v>
      </c>
      <c r="AF42">
        <v>10.425000190734863</v>
      </c>
      <c r="AG42">
        <v>150</v>
      </c>
      <c r="AH42">
        <v>18.330999374389648</v>
      </c>
      <c r="AI42">
        <v>152</v>
      </c>
      <c r="AJ42">
        <v>9.4219999313354492</v>
      </c>
      <c r="AK42">
        <v>151</v>
      </c>
      <c r="AL42">
        <v>11.89799976348877</v>
      </c>
      <c r="AM42">
        <v>149</v>
      </c>
      <c r="AN42">
        <v>13.043000221252441</v>
      </c>
      <c r="AO42">
        <v>150</v>
      </c>
      <c r="AP42">
        <v>19.562000274658203</v>
      </c>
    </row>
    <row r="43" spans="2:42" x14ac:dyDescent="0.2">
      <c r="B43" t="s">
        <v>13</v>
      </c>
      <c r="C43">
        <v>292</v>
      </c>
      <c r="D43">
        <v>46.083999633789062</v>
      </c>
      <c r="E43">
        <v>298</v>
      </c>
      <c r="F43">
        <v>35.063999176025391</v>
      </c>
      <c r="G43">
        <v>299</v>
      </c>
      <c r="H43">
        <v>46.254001617431641</v>
      </c>
      <c r="I43">
        <v>298</v>
      </c>
      <c r="J43">
        <v>26.038000106811523</v>
      </c>
      <c r="K43">
        <v>295</v>
      </c>
      <c r="L43">
        <v>59.444999694824219</v>
      </c>
      <c r="M43">
        <v>296</v>
      </c>
      <c r="N43">
        <v>52.498001098632812</v>
      </c>
      <c r="O43">
        <v>303</v>
      </c>
      <c r="P43">
        <v>22.416999816894531</v>
      </c>
      <c r="Q43">
        <v>293</v>
      </c>
      <c r="R43">
        <v>55.076000213623047</v>
      </c>
      <c r="S43">
        <v>294</v>
      </c>
      <c r="T43">
        <v>33.099998474121094</v>
      </c>
      <c r="U43">
        <v>291</v>
      </c>
      <c r="V43">
        <v>47.986000061035156</v>
      </c>
      <c r="W43">
        <v>294</v>
      </c>
      <c r="X43">
        <v>34.318000793457031</v>
      </c>
      <c r="Y43">
        <v>294</v>
      </c>
      <c r="Z43">
        <v>38.014999389648438</v>
      </c>
      <c r="AA43">
        <v>294</v>
      </c>
      <c r="AB43">
        <v>54.443000793457031</v>
      </c>
      <c r="AC43">
        <v>292</v>
      </c>
      <c r="AD43">
        <v>46.056999206542969</v>
      </c>
      <c r="AE43">
        <v>297</v>
      </c>
      <c r="AF43">
        <v>50.097999572753906</v>
      </c>
      <c r="AG43">
        <v>290</v>
      </c>
      <c r="AH43">
        <v>41.972999572753906</v>
      </c>
      <c r="AI43">
        <v>293</v>
      </c>
      <c r="AJ43">
        <v>58.558998107910156</v>
      </c>
      <c r="AK43">
        <v>295</v>
      </c>
      <c r="AL43">
        <v>36.562999725341797</v>
      </c>
      <c r="AM43">
        <v>296</v>
      </c>
      <c r="AN43">
        <v>36.737998962402344</v>
      </c>
      <c r="AO43">
        <v>297</v>
      </c>
      <c r="AP43">
        <v>52.747001647949219</v>
      </c>
    </row>
    <row r="44" spans="2:42" x14ac:dyDescent="0.2">
      <c r="B44" t="s">
        <v>179</v>
      </c>
      <c r="C44">
        <v>23</v>
      </c>
      <c r="D44">
        <v>3.0999999493360519E-2</v>
      </c>
      <c r="E44">
        <v>23</v>
      </c>
      <c r="F44">
        <v>4.1999999433755875E-2</v>
      </c>
      <c r="G44">
        <v>23</v>
      </c>
      <c r="H44">
        <v>2.9999999329447746E-2</v>
      </c>
      <c r="I44">
        <v>23</v>
      </c>
      <c r="J44">
        <v>3.0999999493360519E-2</v>
      </c>
      <c r="K44">
        <v>23</v>
      </c>
      <c r="L44">
        <v>3.5000000149011612E-2</v>
      </c>
      <c r="M44">
        <v>23</v>
      </c>
      <c r="N44">
        <v>2.9999999329447746E-2</v>
      </c>
      <c r="O44">
        <v>23</v>
      </c>
      <c r="P44">
        <v>2.8000000864267349E-2</v>
      </c>
      <c r="Q44">
        <v>23</v>
      </c>
      <c r="R44">
        <v>2.8999999165534973E-2</v>
      </c>
      <c r="S44">
        <v>23</v>
      </c>
      <c r="T44">
        <v>3.0999999493360519E-2</v>
      </c>
      <c r="U44">
        <v>23</v>
      </c>
      <c r="V44">
        <v>2.9999999329447746E-2</v>
      </c>
      <c r="W44">
        <v>23</v>
      </c>
      <c r="X44">
        <v>3.2000001519918442E-2</v>
      </c>
      <c r="Y44">
        <v>23</v>
      </c>
      <c r="Z44">
        <v>2.8999999165534973E-2</v>
      </c>
      <c r="AA44">
        <v>23</v>
      </c>
      <c r="AB44">
        <v>3.2000001519918442E-2</v>
      </c>
      <c r="AC44">
        <v>23</v>
      </c>
      <c r="AD44">
        <v>2.9999999329447746E-2</v>
      </c>
      <c r="AE44">
        <v>23</v>
      </c>
      <c r="AF44">
        <v>3.0999999493360519E-2</v>
      </c>
      <c r="AG44">
        <v>23</v>
      </c>
      <c r="AH44">
        <v>3.0999999493360519E-2</v>
      </c>
      <c r="AI44">
        <v>23</v>
      </c>
      <c r="AJ44">
        <v>3.2000001519918442E-2</v>
      </c>
      <c r="AK44">
        <v>23</v>
      </c>
      <c r="AL44">
        <v>2.8999999165534973E-2</v>
      </c>
      <c r="AM44">
        <v>23</v>
      </c>
      <c r="AN44">
        <v>2.8000000864267349E-2</v>
      </c>
      <c r="AO44">
        <v>23</v>
      </c>
      <c r="AP44">
        <v>2.9999999329447746E-2</v>
      </c>
    </row>
    <row r="45" spans="2:42" x14ac:dyDescent="0.2">
      <c r="B45" t="s">
        <v>193</v>
      </c>
      <c r="C45">
        <v>84</v>
      </c>
      <c r="D45">
        <v>0.13600000739097595</v>
      </c>
      <c r="E45">
        <v>84</v>
      </c>
      <c r="F45">
        <v>0.12700000405311584</v>
      </c>
      <c r="G45">
        <v>84</v>
      </c>
      <c r="H45">
        <v>0.13099999725818634</v>
      </c>
      <c r="I45">
        <v>84</v>
      </c>
      <c r="J45">
        <v>0.13400000333786011</v>
      </c>
      <c r="K45">
        <v>84</v>
      </c>
      <c r="L45">
        <v>0.14699999988079071</v>
      </c>
      <c r="M45">
        <v>84</v>
      </c>
      <c r="N45">
        <v>0.13600000739097595</v>
      </c>
      <c r="O45">
        <v>84</v>
      </c>
      <c r="P45">
        <v>0.13300000131130219</v>
      </c>
      <c r="Q45">
        <v>84</v>
      </c>
      <c r="R45">
        <v>0.13600000739097595</v>
      </c>
      <c r="S45">
        <v>84</v>
      </c>
      <c r="T45">
        <v>0.13099999725818634</v>
      </c>
      <c r="U45">
        <v>84</v>
      </c>
      <c r="V45">
        <v>0.13400000333786011</v>
      </c>
      <c r="W45">
        <v>84</v>
      </c>
      <c r="X45">
        <v>0.13600000739097595</v>
      </c>
      <c r="Y45">
        <v>84</v>
      </c>
      <c r="Z45">
        <v>0.13600000739097595</v>
      </c>
      <c r="AA45">
        <v>84</v>
      </c>
      <c r="AB45">
        <v>0.12300000339746475</v>
      </c>
      <c r="AC45">
        <v>84</v>
      </c>
      <c r="AD45">
        <v>0.14300000667572021</v>
      </c>
      <c r="AE45">
        <v>84</v>
      </c>
      <c r="AF45">
        <v>0.13400000333786011</v>
      </c>
      <c r="AG45">
        <v>84</v>
      </c>
      <c r="AH45">
        <v>0.13300000131130219</v>
      </c>
      <c r="AI45">
        <v>84</v>
      </c>
      <c r="AJ45">
        <v>0.13099999725818634</v>
      </c>
      <c r="AK45">
        <v>84</v>
      </c>
      <c r="AL45">
        <v>0.15299999713897705</v>
      </c>
      <c r="AM45">
        <v>84</v>
      </c>
      <c r="AN45">
        <v>0.14399999380111694</v>
      </c>
      <c r="AO45">
        <v>84</v>
      </c>
      <c r="AP45">
        <v>0.15000000596046448</v>
      </c>
    </row>
    <row r="46" spans="2:42" x14ac:dyDescent="0.2">
      <c r="B46" t="s">
        <v>194</v>
      </c>
      <c r="C46">
        <v>170</v>
      </c>
      <c r="D46">
        <v>1.6089999675750732</v>
      </c>
      <c r="E46">
        <v>171</v>
      </c>
      <c r="F46">
        <v>1.4229999780654907</v>
      </c>
      <c r="G46">
        <v>170</v>
      </c>
      <c r="H46">
        <v>3.1400001049041748</v>
      </c>
      <c r="I46">
        <v>172</v>
      </c>
      <c r="J46">
        <v>1.3940000534057617</v>
      </c>
      <c r="K46">
        <v>171</v>
      </c>
      <c r="L46">
        <v>1.2640000581741333</v>
      </c>
      <c r="M46">
        <v>171</v>
      </c>
      <c r="N46">
        <v>2.872999906539917</v>
      </c>
      <c r="O46">
        <v>171</v>
      </c>
      <c r="P46">
        <v>1.659000039100647</v>
      </c>
      <c r="Q46">
        <v>173</v>
      </c>
      <c r="R46">
        <v>1.5490000247955322</v>
      </c>
      <c r="S46">
        <v>171</v>
      </c>
      <c r="T46">
        <v>1.3400000333786011</v>
      </c>
      <c r="U46">
        <v>171</v>
      </c>
      <c r="V46">
        <v>1.6019999980926514</v>
      </c>
      <c r="W46">
        <v>171</v>
      </c>
      <c r="X46">
        <v>1.3630000352859497</v>
      </c>
      <c r="Y46">
        <v>170</v>
      </c>
      <c r="Z46">
        <v>4.7379999160766602</v>
      </c>
      <c r="AA46">
        <v>171</v>
      </c>
      <c r="AB46">
        <v>1.8359999656677246</v>
      </c>
      <c r="AC46">
        <v>171</v>
      </c>
      <c r="AD46">
        <v>1.2929999828338623</v>
      </c>
      <c r="AE46">
        <v>171</v>
      </c>
      <c r="AF46">
        <v>2.1389999389648438</v>
      </c>
      <c r="AG46">
        <v>174</v>
      </c>
      <c r="AH46">
        <v>1.4900000095367432</v>
      </c>
      <c r="AI46">
        <v>171</v>
      </c>
      <c r="AJ46">
        <v>2.0380001068115234</v>
      </c>
      <c r="AK46">
        <v>172</v>
      </c>
      <c r="AL46">
        <v>1.687000036239624</v>
      </c>
      <c r="AM46">
        <v>173</v>
      </c>
      <c r="AN46">
        <v>1.4589999914169312</v>
      </c>
      <c r="AO46">
        <v>172</v>
      </c>
      <c r="AP46">
        <v>1.8550000190734863</v>
      </c>
    </row>
    <row r="47" spans="2:42" x14ac:dyDescent="0.2">
      <c r="B47" t="s">
        <v>195</v>
      </c>
      <c r="C47">
        <v>252</v>
      </c>
      <c r="D47">
        <v>2.624000072479248</v>
      </c>
      <c r="E47">
        <v>255</v>
      </c>
      <c r="F47">
        <v>1.4750000238418579</v>
      </c>
      <c r="G47">
        <v>252</v>
      </c>
      <c r="H47">
        <v>1.062000036239624</v>
      </c>
      <c r="I47">
        <v>252</v>
      </c>
      <c r="J47">
        <v>1.7489999532699585</v>
      </c>
      <c r="K47">
        <v>252</v>
      </c>
      <c r="L47">
        <v>1.4700000286102295</v>
      </c>
      <c r="M47">
        <v>253</v>
      </c>
      <c r="N47">
        <v>1.7960000038146973</v>
      </c>
      <c r="O47">
        <v>254</v>
      </c>
      <c r="P47">
        <v>1.5809999704360962</v>
      </c>
      <c r="Q47">
        <v>254</v>
      </c>
      <c r="R47">
        <v>1.2020000219345093</v>
      </c>
      <c r="S47">
        <v>252</v>
      </c>
      <c r="T47">
        <v>1.875</v>
      </c>
      <c r="U47">
        <v>252</v>
      </c>
      <c r="V47">
        <v>2.0739998817443848</v>
      </c>
      <c r="W47">
        <v>252</v>
      </c>
      <c r="X47">
        <v>2.3069999217987061</v>
      </c>
      <c r="Y47">
        <v>253</v>
      </c>
      <c r="Z47">
        <v>1.3830000162124634</v>
      </c>
      <c r="AA47">
        <v>254</v>
      </c>
      <c r="AB47">
        <v>1.1130000352859497</v>
      </c>
      <c r="AC47">
        <v>253</v>
      </c>
      <c r="AD47">
        <v>2.7950000762939453</v>
      </c>
      <c r="AE47">
        <v>252</v>
      </c>
      <c r="AF47">
        <v>2.2369999885559082</v>
      </c>
      <c r="AG47">
        <v>254</v>
      </c>
      <c r="AH47">
        <v>1.4140000343322754</v>
      </c>
      <c r="AI47">
        <v>253</v>
      </c>
      <c r="AJ47">
        <v>1.9769999980926514</v>
      </c>
      <c r="AK47">
        <v>252</v>
      </c>
      <c r="AL47">
        <v>1.5010000467300415</v>
      </c>
      <c r="AM47">
        <v>252</v>
      </c>
      <c r="AN47">
        <v>2.8310000896453857</v>
      </c>
      <c r="AO47">
        <v>252</v>
      </c>
      <c r="AP47">
        <v>2.9049999713897705</v>
      </c>
    </row>
    <row r="48" spans="2:42" x14ac:dyDescent="0.2">
      <c r="B48" t="s">
        <v>196</v>
      </c>
      <c r="C48">
        <v>321</v>
      </c>
      <c r="D48">
        <v>4.179999828338623</v>
      </c>
      <c r="E48">
        <v>321</v>
      </c>
      <c r="F48">
        <v>3.4179999828338623</v>
      </c>
      <c r="G48">
        <v>321</v>
      </c>
      <c r="H48">
        <v>5.9250001907348633</v>
      </c>
      <c r="I48">
        <v>321</v>
      </c>
      <c r="J48">
        <v>6.0840001106262207</v>
      </c>
      <c r="K48">
        <v>321</v>
      </c>
      <c r="L48">
        <v>2.8870000839233398</v>
      </c>
      <c r="M48">
        <v>321</v>
      </c>
      <c r="N48">
        <v>4.4920001029968262</v>
      </c>
      <c r="O48">
        <v>321</v>
      </c>
      <c r="P48">
        <v>3.0329999923706055</v>
      </c>
      <c r="Q48">
        <v>323</v>
      </c>
      <c r="R48">
        <v>3.1719999313354492</v>
      </c>
      <c r="S48">
        <v>321</v>
      </c>
      <c r="T48">
        <v>6.0329999923706055</v>
      </c>
      <c r="U48">
        <v>321</v>
      </c>
      <c r="V48">
        <v>3.062999963760376</v>
      </c>
      <c r="W48">
        <v>321</v>
      </c>
      <c r="X48">
        <v>3.8919999599456787</v>
      </c>
      <c r="Y48">
        <v>322</v>
      </c>
      <c r="Z48">
        <v>2.6459999084472656</v>
      </c>
      <c r="AA48">
        <v>321</v>
      </c>
      <c r="AB48">
        <v>3.9289999008178711</v>
      </c>
      <c r="AC48">
        <v>321</v>
      </c>
      <c r="AD48">
        <v>3.1389999389648438</v>
      </c>
      <c r="AE48">
        <v>321</v>
      </c>
      <c r="AF48">
        <v>3.434999942779541</v>
      </c>
      <c r="AG48">
        <v>321</v>
      </c>
      <c r="AH48">
        <v>2.9639999866485596</v>
      </c>
      <c r="AI48">
        <v>322</v>
      </c>
      <c r="AJ48">
        <v>3.5539999008178711</v>
      </c>
      <c r="AK48">
        <v>322</v>
      </c>
      <c r="AL48">
        <v>3.4609999656677246</v>
      </c>
      <c r="AM48">
        <v>321</v>
      </c>
      <c r="AN48">
        <v>3.3970000743865967</v>
      </c>
      <c r="AO48">
        <v>321</v>
      </c>
      <c r="AP48">
        <v>2.9730000495910645</v>
      </c>
    </row>
    <row r="49" spans="2:42" x14ac:dyDescent="0.2">
      <c r="B49" t="s">
        <v>180</v>
      </c>
      <c r="C49">
        <v>80</v>
      </c>
      <c r="D49">
        <v>0.12800000607967377</v>
      </c>
      <c r="E49">
        <v>78</v>
      </c>
      <c r="F49">
        <v>0.13400000333786011</v>
      </c>
      <c r="G49">
        <v>78</v>
      </c>
      <c r="H49">
        <v>0.12399999797344208</v>
      </c>
      <c r="I49">
        <v>78</v>
      </c>
      <c r="J49">
        <v>0.12600000202655792</v>
      </c>
      <c r="K49">
        <v>78</v>
      </c>
      <c r="L49">
        <v>0.11500000208616257</v>
      </c>
      <c r="M49">
        <v>78</v>
      </c>
      <c r="N49">
        <v>0.1379999965429306</v>
      </c>
      <c r="O49">
        <v>78</v>
      </c>
      <c r="P49">
        <v>0.1679999977350235</v>
      </c>
      <c r="Q49">
        <v>78</v>
      </c>
      <c r="R49">
        <v>0.17100000381469727</v>
      </c>
      <c r="S49">
        <v>78</v>
      </c>
      <c r="T49">
        <v>0.12999999523162842</v>
      </c>
      <c r="U49">
        <v>78</v>
      </c>
      <c r="V49">
        <v>0.1289999932050705</v>
      </c>
      <c r="W49">
        <v>78</v>
      </c>
      <c r="X49">
        <v>0.15099999308586121</v>
      </c>
      <c r="Y49">
        <v>78</v>
      </c>
      <c r="Z49">
        <v>0.17900000512599945</v>
      </c>
      <c r="AA49">
        <v>78</v>
      </c>
      <c r="AB49">
        <v>0.11599999666213989</v>
      </c>
      <c r="AC49">
        <v>78</v>
      </c>
      <c r="AD49">
        <v>0.14300000667572021</v>
      </c>
      <c r="AE49">
        <v>78</v>
      </c>
      <c r="AF49">
        <v>0.11299999803304672</v>
      </c>
      <c r="AG49">
        <v>78</v>
      </c>
      <c r="AH49">
        <v>0.18700000643730164</v>
      </c>
      <c r="AI49">
        <v>78</v>
      </c>
      <c r="AJ49">
        <v>0.10499999672174454</v>
      </c>
      <c r="AK49">
        <v>78</v>
      </c>
      <c r="AL49">
        <v>0.1550000011920929</v>
      </c>
      <c r="AM49">
        <v>80</v>
      </c>
      <c r="AN49">
        <v>0.1550000011920929</v>
      </c>
      <c r="AO49">
        <v>78</v>
      </c>
      <c r="AP49">
        <v>0.11500000208616257</v>
      </c>
    </row>
    <row r="50" spans="2:42" x14ac:dyDescent="0.2">
      <c r="B50" t="s">
        <v>181</v>
      </c>
      <c r="C50">
        <v>36</v>
      </c>
      <c r="D50">
        <v>0.87099999189376831</v>
      </c>
      <c r="E50">
        <v>36</v>
      </c>
      <c r="F50">
        <v>0.93300002813339233</v>
      </c>
      <c r="G50">
        <v>36</v>
      </c>
      <c r="H50">
        <v>0.8399999737739563</v>
      </c>
      <c r="I50">
        <v>36</v>
      </c>
      <c r="J50">
        <v>0.89899998903274536</v>
      </c>
      <c r="K50">
        <v>36</v>
      </c>
      <c r="L50">
        <v>0.87300002574920654</v>
      </c>
      <c r="M50">
        <v>36</v>
      </c>
      <c r="N50">
        <v>0.78700000047683716</v>
      </c>
      <c r="O50">
        <v>36</v>
      </c>
      <c r="P50">
        <v>0.81499999761581421</v>
      </c>
      <c r="Q50">
        <v>36</v>
      </c>
      <c r="R50">
        <v>0.77600002288818359</v>
      </c>
      <c r="S50">
        <v>36</v>
      </c>
      <c r="T50">
        <v>0.82999998331069946</v>
      </c>
      <c r="U50">
        <v>36</v>
      </c>
      <c r="V50">
        <v>0.83499997854232788</v>
      </c>
      <c r="W50">
        <v>36</v>
      </c>
      <c r="X50">
        <v>0.81099998950958252</v>
      </c>
      <c r="Y50">
        <v>36</v>
      </c>
      <c r="Z50">
        <v>0.84500002861022949</v>
      </c>
      <c r="AA50">
        <v>36</v>
      </c>
      <c r="AB50">
        <v>0.88499999046325684</v>
      </c>
      <c r="AC50">
        <v>36</v>
      </c>
      <c r="AD50">
        <v>0.85799998044967651</v>
      </c>
      <c r="AE50">
        <v>36</v>
      </c>
      <c r="AF50">
        <v>0.81499999761581421</v>
      </c>
      <c r="AG50">
        <v>36</v>
      </c>
      <c r="AH50">
        <v>0.81300002336502075</v>
      </c>
      <c r="AI50">
        <v>36</v>
      </c>
      <c r="AJ50">
        <v>0.8320000171661377</v>
      </c>
      <c r="AK50">
        <v>36</v>
      </c>
      <c r="AL50">
        <v>0.90100002288818359</v>
      </c>
      <c r="AM50">
        <v>36</v>
      </c>
      <c r="AN50">
        <v>0.83700001239776611</v>
      </c>
      <c r="AO50">
        <v>36</v>
      </c>
      <c r="AP50">
        <v>0.81400001049041748</v>
      </c>
    </row>
    <row r="51" spans="2:42" x14ac:dyDescent="0.2">
      <c r="B51" t="s">
        <v>182</v>
      </c>
      <c r="C51">
        <v>87</v>
      </c>
      <c r="D51">
        <v>0.49200001358985901</v>
      </c>
      <c r="E51">
        <v>87</v>
      </c>
      <c r="F51">
        <v>0.34700000286102295</v>
      </c>
      <c r="G51">
        <v>87</v>
      </c>
      <c r="H51">
        <v>0.49599999189376831</v>
      </c>
      <c r="I51">
        <v>87</v>
      </c>
      <c r="J51">
        <v>0.36300000548362732</v>
      </c>
      <c r="K51">
        <v>89</v>
      </c>
      <c r="L51">
        <v>0.60399997234344482</v>
      </c>
      <c r="M51">
        <v>87</v>
      </c>
      <c r="N51">
        <v>0.40000000596046448</v>
      </c>
      <c r="O51">
        <v>87</v>
      </c>
      <c r="P51">
        <v>0.45199999213218689</v>
      </c>
      <c r="Q51">
        <v>86</v>
      </c>
      <c r="R51">
        <v>0.57599997520446777</v>
      </c>
      <c r="S51">
        <v>84</v>
      </c>
      <c r="T51">
        <v>1.0119999647140503</v>
      </c>
      <c r="U51">
        <v>86</v>
      </c>
      <c r="V51">
        <v>0.47400000691413879</v>
      </c>
      <c r="W51">
        <v>88</v>
      </c>
      <c r="X51">
        <v>0.49700000882148743</v>
      </c>
      <c r="Y51">
        <v>86</v>
      </c>
      <c r="Z51">
        <v>0.45399999618530273</v>
      </c>
      <c r="AA51">
        <v>87</v>
      </c>
      <c r="AB51">
        <v>0.34000000357627869</v>
      </c>
      <c r="AC51">
        <v>87</v>
      </c>
      <c r="AD51">
        <v>0.42199999094009399</v>
      </c>
      <c r="AE51">
        <v>88</v>
      </c>
      <c r="AF51">
        <v>0.42399999499320984</v>
      </c>
      <c r="AG51">
        <v>87</v>
      </c>
      <c r="AH51">
        <v>0.43200001120567322</v>
      </c>
      <c r="AI51">
        <v>89</v>
      </c>
      <c r="AJ51">
        <v>0.5</v>
      </c>
      <c r="AK51">
        <v>89</v>
      </c>
      <c r="AL51">
        <v>0.39800000190734863</v>
      </c>
      <c r="AM51">
        <v>89</v>
      </c>
      <c r="AN51">
        <v>0.34400001168251038</v>
      </c>
      <c r="AO51">
        <v>87</v>
      </c>
      <c r="AP51">
        <v>0.47999998927116394</v>
      </c>
    </row>
    <row r="52" spans="2:42" x14ac:dyDescent="0.2">
      <c r="B52" t="s">
        <v>183</v>
      </c>
      <c r="C52">
        <v>91</v>
      </c>
      <c r="D52">
        <v>0.29100000858306885</v>
      </c>
      <c r="E52">
        <v>91</v>
      </c>
      <c r="F52">
        <v>0.20999999344348907</v>
      </c>
      <c r="G52">
        <v>91</v>
      </c>
      <c r="H52">
        <v>0.26399999856948853</v>
      </c>
      <c r="I52">
        <v>91</v>
      </c>
      <c r="J52">
        <v>0.40599998831748962</v>
      </c>
      <c r="K52">
        <v>91</v>
      </c>
      <c r="L52">
        <v>0.21899999678134918</v>
      </c>
      <c r="M52">
        <v>92</v>
      </c>
      <c r="N52">
        <v>0.19699999690055847</v>
      </c>
      <c r="O52">
        <v>91</v>
      </c>
      <c r="P52">
        <v>0.22200000286102295</v>
      </c>
      <c r="Q52">
        <v>92</v>
      </c>
      <c r="R52">
        <v>0.21699999272823334</v>
      </c>
      <c r="S52">
        <v>91</v>
      </c>
      <c r="T52">
        <v>0.20100000500679016</v>
      </c>
      <c r="U52">
        <v>91</v>
      </c>
      <c r="V52">
        <v>0.23899999260902405</v>
      </c>
      <c r="W52">
        <v>91</v>
      </c>
      <c r="X52">
        <v>0.2720000147819519</v>
      </c>
      <c r="Y52">
        <v>92</v>
      </c>
      <c r="Z52">
        <v>0.210999995470047</v>
      </c>
      <c r="AA52">
        <v>91</v>
      </c>
      <c r="AB52">
        <v>0.25099998712539673</v>
      </c>
      <c r="AC52">
        <v>91</v>
      </c>
      <c r="AD52">
        <v>0.30000001192092896</v>
      </c>
      <c r="AE52">
        <v>91</v>
      </c>
      <c r="AF52">
        <v>0.27500000596046448</v>
      </c>
      <c r="AG52">
        <v>91</v>
      </c>
      <c r="AH52">
        <v>0.29699999094009399</v>
      </c>
      <c r="AI52">
        <v>93</v>
      </c>
      <c r="AJ52">
        <v>0.21400000154972076</v>
      </c>
      <c r="AK52">
        <v>92</v>
      </c>
      <c r="AL52">
        <v>0.20600000023841858</v>
      </c>
      <c r="AM52">
        <v>91</v>
      </c>
      <c r="AN52">
        <v>0.29100000858306885</v>
      </c>
      <c r="AO52">
        <v>92</v>
      </c>
      <c r="AP52">
        <v>0.20600000023841858</v>
      </c>
    </row>
    <row r="53" spans="2:42" x14ac:dyDescent="0.2">
      <c r="B53" t="s">
        <v>184</v>
      </c>
      <c r="C53">
        <v>158</v>
      </c>
      <c r="D53">
        <v>0.64399999380111694</v>
      </c>
      <c r="E53">
        <v>157</v>
      </c>
      <c r="F53">
        <v>0.6809999942779541</v>
      </c>
      <c r="G53">
        <v>158</v>
      </c>
      <c r="H53">
        <v>0.57099997997283936</v>
      </c>
      <c r="I53">
        <v>158</v>
      </c>
      <c r="J53">
        <v>0.67400002479553223</v>
      </c>
      <c r="K53">
        <v>160</v>
      </c>
      <c r="L53">
        <v>0.54000002145767212</v>
      </c>
      <c r="M53">
        <v>161</v>
      </c>
      <c r="N53">
        <v>0.3580000102519989</v>
      </c>
      <c r="O53">
        <v>157</v>
      </c>
      <c r="P53">
        <v>0.85399997234344482</v>
      </c>
      <c r="Q53">
        <v>158</v>
      </c>
      <c r="R53">
        <v>0.45399999618530273</v>
      </c>
      <c r="S53">
        <v>159</v>
      </c>
      <c r="T53">
        <v>0.39399999380111694</v>
      </c>
      <c r="U53">
        <v>158</v>
      </c>
      <c r="V53">
        <v>0.44499999284744263</v>
      </c>
      <c r="W53">
        <v>157</v>
      </c>
      <c r="X53">
        <v>0.79600000381469727</v>
      </c>
      <c r="Y53">
        <v>158</v>
      </c>
      <c r="Z53">
        <v>0.3919999897480011</v>
      </c>
      <c r="AA53">
        <v>160</v>
      </c>
      <c r="AB53">
        <v>0.66500002145767212</v>
      </c>
      <c r="AC53">
        <v>160</v>
      </c>
      <c r="AD53">
        <v>0.460999995470047</v>
      </c>
      <c r="AE53">
        <v>157</v>
      </c>
      <c r="AF53">
        <v>0.53600001335144043</v>
      </c>
      <c r="AG53">
        <v>159</v>
      </c>
      <c r="AH53">
        <v>0.40099999308586121</v>
      </c>
      <c r="AI53">
        <v>158</v>
      </c>
      <c r="AJ53">
        <v>0.67100000381469727</v>
      </c>
      <c r="AK53">
        <v>157</v>
      </c>
      <c r="AL53">
        <v>0.68699997663497925</v>
      </c>
      <c r="AM53">
        <v>158</v>
      </c>
      <c r="AN53">
        <v>0.5339999794960022</v>
      </c>
      <c r="AO53">
        <v>158</v>
      </c>
      <c r="AP53">
        <v>0.59299999475479126</v>
      </c>
    </row>
    <row r="54" spans="2:42" x14ac:dyDescent="0.2">
      <c r="B54" t="s">
        <v>185</v>
      </c>
      <c r="C54">
        <v>131</v>
      </c>
      <c r="D54">
        <v>0.62400001287460327</v>
      </c>
      <c r="E54">
        <v>131</v>
      </c>
      <c r="F54">
        <v>0.5899999737739563</v>
      </c>
      <c r="G54">
        <v>130</v>
      </c>
      <c r="H54">
        <v>0.76700001955032349</v>
      </c>
      <c r="I54">
        <v>131</v>
      </c>
      <c r="J54">
        <v>0.36100000143051147</v>
      </c>
      <c r="K54">
        <v>131</v>
      </c>
      <c r="L54">
        <v>0.37299999594688416</v>
      </c>
      <c r="M54">
        <v>131</v>
      </c>
      <c r="N54">
        <v>0.46900001168251038</v>
      </c>
      <c r="O54">
        <v>129</v>
      </c>
      <c r="P54">
        <v>0.45199999213218689</v>
      </c>
      <c r="Q54">
        <v>131</v>
      </c>
      <c r="R54">
        <v>0.39599999785423279</v>
      </c>
      <c r="S54">
        <v>131</v>
      </c>
      <c r="T54">
        <v>0.78200000524520874</v>
      </c>
      <c r="U54">
        <v>129</v>
      </c>
      <c r="V54">
        <v>1.0959999561309814</v>
      </c>
      <c r="W54">
        <v>129</v>
      </c>
      <c r="X54">
        <v>0.64499998092651367</v>
      </c>
      <c r="Y54">
        <v>130</v>
      </c>
      <c r="Z54">
        <v>0.41999998688697815</v>
      </c>
      <c r="AA54">
        <v>129</v>
      </c>
      <c r="AB54">
        <v>0.66299998760223389</v>
      </c>
      <c r="AC54">
        <v>131</v>
      </c>
      <c r="AD54">
        <v>0.58600002527236938</v>
      </c>
      <c r="AE54">
        <v>131</v>
      </c>
      <c r="AF54">
        <v>0.62999999523162842</v>
      </c>
      <c r="AG54">
        <v>129</v>
      </c>
      <c r="AH54">
        <v>0.39599999785423279</v>
      </c>
      <c r="AI54">
        <v>129</v>
      </c>
      <c r="AJ54">
        <v>0.460999995470047</v>
      </c>
      <c r="AK54">
        <v>133</v>
      </c>
      <c r="AL54">
        <v>0.34400001168251038</v>
      </c>
      <c r="AM54">
        <v>131</v>
      </c>
      <c r="AN54">
        <v>0.49399998784065247</v>
      </c>
      <c r="AO54">
        <v>131</v>
      </c>
      <c r="AP54">
        <v>0.53899997472763062</v>
      </c>
    </row>
    <row r="55" spans="2:42" x14ac:dyDescent="0.2">
      <c r="B55" t="s">
        <v>14</v>
      </c>
      <c r="C55">
        <v>149</v>
      </c>
      <c r="D55">
        <v>0.61699998378753662</v>
      </c>
      <c r="E55">
        <v>147</v>
      </c>
      <c r="F55">
        <v>1.1859999895095825</v>
      </c>
      <c r="G55">
        <v>152</v>
      </c>
      <c r="H55">
        <v>0.9309999942779541</v>
      </c>
      <c r="I55">
        <v>150</v>
      </c>
      <c r="J55">
        <v>1.2059999704360962</v>
      </c>
      <c r="K55">
        <v>151</v>
      </c>
      <c r="L55">
        <v>0.68999999761581421</v>
      </c>
      <c r="M55">
        <v>151</v>
      </c>
      <c r="N55">
        <v>0.55099999904632568</v>
      </c>
      <c r="O55">
        <v>149</v>
      </c>
      <c r="P55">
        <v>1.3359999656677246</v>
      </c>
      <c r="Q55">
        <v>152</v>
      </c>
      <c r="R55">
        <v>0.8059999942779541</v>
      </c>
      <c r="S55">
        <v>147</v>
      </c>
      <c r="T55">
        <v>0.86500000953674316</v>
      </c>
      <c r="U55">
        <v>150</v>
      </c>
      <c r="V55">
        <v>1.2790000438690186</v>
      </c>
      <c r="W55">
        <v>151</v>
      </c>
      <c r="X55">
        <v>0.6119999885559082</v>
      </c>
      <c r="Y55">
        <v>149</v>
      </c>
      <c r="Z55">
        <v>0.68500000238418579</v>
      </c>
      <c r="AA55">
        <v>152</v>
      </c>
      <c r="AB55">
        <v>0.56999999284744263</v>
      </c>
      <c r="AC55">
        <v>149</v>
      </c>
      <c r="AD55">
        <v>0.82400000095367432</v>
      </c>
      <c r="AE55">
        <v>151</v>
      </c>
      <c r="AF55">
        <v>0.57599997520446777</v>
      </c>
      <c r="AG55">
        <v>149</v>
      </c>
      <c r="AH55">
        <v>0.71200001239776611</v>
      </c>
      <c r="AI55">
        <v>149</v>
      </c>
      <c r="AJ55">
        <v>0.81999999284744263</v>
      </c>
      <c r="AK55">
        <v>150</v>
      </c>
      <c r="AL55">
        <v>1.0399999618530273</v>
      </c>
      <c r="AM55">
        <v>150</v>
      </c>
      <c r="AN55">
        <v>1.0759999752044678</v>
      </c>
      <c r="AO55">
        <v>147</v>
      </c>
      <c r="AP55">
        <v>0.83099997043609619</v>
      </c>
    </row>
    <row r="56" spans="2:42" x14ac:dyDescent="0.2">
      <c r="B56" t="s">
        <v>186</v>
      </c>
      <c r="C56">
        <v>162</v>
      </c>
      <c r="D56">
        <v>2.2730000019073486</v>
      </c>
      <c r="E56">
        <v>167</v>
      </c>
      <c r="F56">
        <v>1.4780000448226929</v>
      </c>
      <c r="G56">
        <v>168</v>
      </c>
      <c r="H56">
        <v>1.8109999895095825</v>
      </c>
      <c r="I56">
        <v>171</v>
      </c>
      <c r="J56">
        <v>1.2350000143051147</v>
      </c>
      <c r="K56">
        <v>162</v>
      </c>
      <c r="L56">
        <v>3.1380000114440918</v>
      </c>
      <c r="M56">
        <v>166</v>
      </c>
      <c r="N56">
        <v>2.065000057220459</v>
      </c>
      <c r="O56">
        <v>165</v>
      </c>
      <c r="P56">
        <v>3.0510001182556152</v>
      </c>
      <c r="Q56">
        <v>167</v>
      </c>
      <c r="R56">
        <v>2.4860000610351562</v>
      </c>
      <c r="S56">
        <v>168</v>
      </c>
      <c r="T56">
        <v>2.3310000896453857</v>
      </c>
      <c r="U56">
        <v>165</v>
      </c>
      <c r="V56">
        <v>1.6920000314712524</v>
      </c>
      <c r="W56">
        <v>173</v>
      </c>
      <c r="X56">
        <v>1.0690000057220459</v>
      </c>
      <c r="Y56">
        <v>166</v>
      </c>
      <c r="Z56">
        <v>1.25</v>
      </c>
      <c r="AA56">
        <v>165</v>
      </c>
      <c r="AB56">
        <v>2.2539999485015869</v>
      </c>
      <c r="AC56">
        <v>168</v>
      </c>
      <c r="AD56">
        <v>1.6699999570846558</v>
      </c>
      <c r="AE56">
        <v>168</v>
      </c>
      <c r="AF56">
        <v>2.1730000972747803</v>
      </c>
      <c r="AG56">
        <v>168</v>
      </c>
      <c r="AH56">
        <v>1.5010000467300415</v>
      </c>
      <c r="AI56">
        <v>165</v>
      </c>
      <c r="AJ56">
        <v>2.1410000324249268</v>
      </c>
      <c r="AK56">
        <v>172</v>
      </c>
      <c r="AL56">
        <v>1.593000054359436</v>
      </c>
      <c r="AM56">
        <v>167</v>
      </c>
      <c r="AN56">
        <v>2.622999906539917</v>
      </c>
      <c r="AO56">
        <v>168</v>
      </c>
      <c r="AP56">
        <v>2.2630000114440918</v>
      </c>
    </row>
    <row r="57" spans="2:42" x14ac:dyDescent="0.2">
      <c r="B57" t="s">
        <v>187</v>
      </c>
      <c r="C57">
        <v>152</v>
      </c>
      <c r="D57">
        <v>14.895000457763672</v>
      </c>
      <c r="E57">
        <v>156</v>
      </c>
      <c r="F57">
        <v>10.168000221252441</v>
      </c>
      <c r="G57">
        <v>155</v>
      </c>
      <c r="H57">
        <v>10.413999557495117</v>
      </c>
      <c r="I57">
        <v>157</v>
      </c>
      <c r="J57">
        <v>10.819999694824219</v>
      </c>
      <c r="K57">
        <v>153</v>
      </c>
      <c r="L57">
        <v>18.517999649047852</v>
      </c>
      <c r="M57">
        <v>157</v>
      </c>
      <c r="N57">
        <v>10.902999877929688</v>
      </c>
      <c r="O57">
        <v>155</v>
      </c>
      <c r="P57">
        <v>12.234000205993652</v>
      </c>
      <c r="Q57">
        <v>152</v>
      </c>
      <c r="R57">
        <v>18.891000747680664</v>
      </c>
      <c r="S57">
        <v>152</v>
      </c>
      <c r="T57">
        <v>13.472999572753906</v>
      </c>
      <c r="U57">
        <v>153</v>
      </c>
      <c r="V57">
        <v>21.629999160766602</v>
      </c>
      <c r="W57">
        <v>154</v>
      </c>
      <c r="X57">
        <v>14.027999877929688</v>
      </c>
      <c r="Y57">
        <v>156</v>
      </c>
      <c r="Z57">
        <v>13.076999664306641</v>
      </c>
      <c r="AA57">
        <v>154</v>
      </c>
      <c r="AB57">
        <v>10.51200008392334</v>
      </c>
      <c r="AC57">
        <v>155</v>
      </c>
      <c r="AD57">
        <v>12.784999847412109</v>
      </c>
      <c r="AE57">
        <v>158</v>
      </c>
      <c r="AF57">
        <v>9.380000114440918</v>
      </c>
      <c r="AG57">
        <v>152</v>
      </c>
      <c r="AH57">
        <v>10.177000045776367</v>
      </c>
      <c r="AI57">
        <v>154</v>
      </c>
      <c r="AJ57">
        <v>13.432000160217285</v>
      </c>
      <c r="AK57">
        <v>156</v>
      </c>
      <c r="AL57">
        <v>12.597999572753906</v>
      </c>
      <c r="AM57">
        <v>157</v>
      </c>
      <c r="AN57">
        <v>9.4090003967285156</v>
      </c>
      <c r="AO57">
        <v>154</v>
      </c>
      <c r="AP57">
        <v>16.399999618530273</v>
      </c>
    </row>
    <row r="58" spans="2:42" x14ac:dyDescent="0.2">
      <c r="B58" t="s">
        <v>15</v>
      </c>
      <c r="C58">
        <v>43</v>
      </c>
      <c r="D58">
        <v>4.999999888241291E-3</v>
      </c>
      <c r="E58">
        <v>43</v>
      </c>
      <c r="F58">
        <v>7.0000002160668373E-3</v>
      </c>
      <c r="G58">
        <v>43</v>
      </c>
      <c r="H58">
        <v>1.3000000268220901E-2</v>
      </c>
      <c r="I58">
        <v>44</v>
      </c>
      <c r="J58">
        <v>6.0000000521540642E-3</v>
      </c>
      <c r="K58">
        <v>43</v>
      </c>
      <c r="L58">
        <v>6.0000000521540642E-3</v>
      </c>
      <c r="M58">
        <v>44</v>
      </c>
      <c r="N58">
        <v>8.0000003799796104E-3</v>
      </c>
      <c r="O58">
        <v>43</v>
      </c>
      <c r="P58">
        <v>1.0999999940395355E-2</v>
      </c>
      <c r="Q58">
        <v>44</v>
      </c>
      <c r="R58">
        <v>4.999999888241291E-3</v>
      </c>
      <c r="S58">
        <v>43</v>
      </c>
      <c r="T58">
        <v>6.0000000521540642E-3</v>
      </c>
      <c r="U58">
        <v>43</v>
      </c>
      <c r="V58">
        <v>4.999999888241291E-3</v>
      </c>
      <c r="W58">
        <v>43</v>
      </c>
      <c r="X58">
        <v>9.9999997764825821E-3</v>
      </c>
      <c r="Y58">
        <v>44</v>
      </c>
      <c r="Z58">
        <v>7.0000002160668373E-3</v>
      </c>
      <c r="AA58">
        <v>43</v>
      </c>
      <c r="AB58">
        <v>6.0000000521540642E-3</v>
      </c>
      <c r="AC58">
        <v>44</v>
      </c>
      <c r="AD58">
        <v>7.0000002160668373E-3</v>
      </c>
      <c r="AE58">
        <v>43</v>
      </c>
      <c r="AF58">
        <v>4.999999888241291E-3</v>
      </c>
      <c r="AG58">
        <v>44</v>
      </c>
      <c r="AH58">
        <v>6.0000000521540642E-3</v>
      </c>
      <c r="AI58">
        <v>44</v>
      </c>
      <c r="AJ58">
        <v>6.0000000521540642E-3</v>
      </c>
      <c r="AK58">
        <v>43</v>
      </c>
      <c r="AL58">
        <v>6.0000000521540642E-3</v>
      </c>
      <c r="AM58">
        <v>44</v>
      </c>
      <c r="AN58">
        <v>7.0000002160668373E-3</v>
      </c>
      <c r="AO58">
        <v>44</v>
      </c>
      <c r="AP58">
        <v>7.0000002160668373E-3</v>
      </c>
    </row>
    <row r="59" spans="2:42" x14ac:dyDescent="0.2">
      <c r="B59" t="s">
        <v>188</v>
      </c>
      <c r="C59">
        <v>41</v>
      </c>
      <c r="D59">
        <v>8.999999612569809E-3</v>
      </c>
      <c r="E59">
        <v>42</v>
      </c>
      <c r="F59">
        <v>6.0000000521540642E-3</v>
      </c>
      <c r="G59">
        <v>39</v>
      </c>
      <c r="H59">
        <v>8.0000003799796104E-3</v>
      </c>
      <c r="I59">
        <v>39</v>
      </c>
      <c r="J59">
        <v>9.9999997764825821E-3</v>
      </c>
      <c r="K59">
        <v>45</v>
      </c>
      <c r="L59">
        <v>6.0000000521540642E-3</v>
      </c>
      <c r="M59">
        <v>39</v>
      </c>
      <c r="N59">
        <v>1.4999999664723873E-2</v>
      </c>
      <c r="O59">
        <v>42</v>
      </c>
      <c r="P59">
        <v>7.0000002160668373E-3</v>
      </c>
      <c r="Q59">
        <v>39</v>
      </c>
      <c r="R59">
        <v>1.2000000104308128E-2</v>
      </c>
      <c r="S59">
        <v>42</v>
      </c>
      <c r="T59">
        <v>8.0000003799796104E-3</v>
      </c>
      <c r="U59">
        <v>39</v>
      </c>
      <c r="V59">
        <v>6.0000000521540642E-3</v>
      </c>
      <c r="W59">
        <v>39</v>
      </c>
      <c r="X59">
        <v>6.0000000521540642E-3</v>
      </c>
      <c r="Y59">
        <v>39</v>
      </c>
      <c r="Z59">
        <v>8.999999612569809E-3</v>
      </c>
      <c r="AA59">
        <v>42</v>
      </c>
      <c r="AB59">
        <v>8.999999612569809E-3</v>
      </c>
      <c r="AC59">
        <v>39</v>
      </c>
      <c r="AD59">
        <v>8.0000003799796104E-3</v>
      </c>
      <c r="AE59">
        <v>39</v>
      </c>
      <c r="AF59">
        <v>8.0000003799796104E-3</v>
      </c>
      <c r="AG59">
        <v>42</v>
      </c>
      <c r="AH59">
        <v>8.0000003799796104E-3</v>
      </c>
      <c r="AI59">
        <v>42</v>
      </c>
      <c r="AJ59">
        <v>9.9999997764825821E-3</v>
      </c>
      <c r="AK59">
        <v>42</v>
      </c>
      <c r="AL59">
        <v>8.999999612569809E-3</v>
      </c>
      <c r="AM59">
        <v>39</v>
      </c>
      <c r="AN59">
        <v>8.999999612569809E-3</v>
      </c>
      <c r="AO59">
        <v>39</v>
      </c>
      <c r="AP59">
        <v>1.0999999940395355E-2</v>
      </c>
    </row>
    <row r="60" spans="2:42" x14ac:dyDescent="0.2">
      <c r="B60" t="s">
        <v>189</v>
      </c>
      <c r="C60">
        <v>70</v>
      </c>
      <c r="D60">
        <v>4.0000001899898052E-3</v>
      </c>
      <c r="E60">
        <v>69</v>
      </c>
      <c r="F60">
        <v>6.0000000521540642E-3</v>
      </c>
      <c r="G60">
        <v>70</v>
      </c>
      <c r="H60">
        <v>4.0000001899898052E-3</v>
      </c>
      <c r="I60">
        <v>69</v>
      </c>
      <c r="J60">
        <v>4.999999888241291E-3</v>
      </c>
      <c r="K60">
        <v>69</v>
      </c>
      <c r="L60">
        <v>4.999999888241291E-3</v>
      </c>
      <c r="M60">
        <v>70</v>
      </c>
      <c r="N60">
        <v>7.0000002160668373E-3</v>
      </c>
      <c r="O60">
        <v>69</v>
      </c>
      <c r="P60">
        <v>7.0000002160668373E-3</v>
      </c>
      <c r="Q60">
        <v>69</v>
      </c>
      <c r="R60">
        <v>7.0000002160668373E-3</v>
      </c>
      <c r="S60">
        <v>70</v>
      </c>
      <c r="T60">
        <v>4.0000001899898052E-3</v>
      </c>
      <c r="U60">
        <v>70</v>
      </c>
      <c r="V60">
        <v>4.999999888241291E-3</v>
      </c>
      <c r="W60">
        <v>69</v>
      </c>
      <c r="X60">
        <v>4.0000001899898052E-3</v>
      </c>
      <c r="Y60">
        <v>70</v>
      </c>
      <c r="Z60">
        <v>4.0000001899898052E-3</v>
      </c>
      <c r="AA60">
        <v>69</v>
      </c>
      <c r="AB60">
        <v>4.999999888241291E-3</v>
      </c>
      <c r="AC60">
        <v>69</v>
      </c>
      <c r="AD60">
        <v>4.0000001899898052E-3</v>
      </c>
      <c r="AE60">
        <v>69</v>
      </c>
      <c r="AF60">
        <v>4.999999888241291E-3</v>
      </c>
      <c r="AG60">
        <v>70</v>
      </c>
      <c r="AH60">
        <v>4.999999888241291E-3</v>
      </c>
      <c r="AI60">
        <v>70</v>
      </c>
      <c r="AJ60">
        <v>4.999999888241291E-3</v>
      </c>
      <c r="AK60">
        <v>70</v>
      </c>
      <c r="AL60">
        <v>4.0000001899898052E-3</v>
      </c>
      <c r="AM60">
        <v>70</v>
      </c>
      <c r="AN60">
        <v>4.0000001899898052E-3</v>
      </c>
      <c r="AO60">
        <v>71</v>
      </c>
      <c r="AP60">
        <v>4.999999888241291E-3</v>
      </c>
    </row>
    <row r="61" spans="2:42" x14ac:dyDescent="0.2">
      <c r="B61" t="s">
        <v>190</v>
      </c>
      <c r="C61">
        <v>45</v>
      </c>
      <c r="D61">
        <v>2.9999999329447746E-2</v>
      </c>
      <c r="E61">
        <v>45</v>
      </c>
      <c r="F61">
        <v>2.9999999329447746E-2</v>
      </c>
      <c r="G61">
        <v>45</v>
      </c>
      <c r="H61">
        <v>3.0999999493360519E-2</v>
      </c>
      <c r="I61">
        <v>45</v>
      </c>
      <c r="J61">
        <v>3.0999999493360519E-2</v>
      </c>
      <c r="K61">
        <v>45</v>
      </c>
      <c r="L61">
        <v>3.2000001519918442E-2</v>
      </c>
      <c r="M61">
        <v>45</v>
      </c>
      <c r="N61">
        <v>3.0999999493360519E-2</v>
      </c>
      <c r="O61">
        <v>45</v>
      </c>
      <c r="P61">
        <v>2.9999999329447746E-2</v>
      </c>
      <c r="Q61">
        <v>45</v>
      </c>
      <c r="R61">
        <v>2.8999999165534973E-2</v>
      </c>
      <c r="S61">
        <v>45</v>
      </c>
      <c r="T61">
        <v>2.8999999165534973E-2</v>
      </c>
      <c r="U61">
        <v>45</v>
      </c>
      <c r="V61">
        <v>2.9999999329447746E-2</v>
      </c>
      <c r="W61">
        <v>45</v>
      </c>
      <c r="X61">
        <v>3.2000001519918442E-2</v>
      </c>
      <c r="Y61">
        <v>45</v>
      </c>
      <c r="Z61">
        <v>2.9999999329447746E-2</v>
      </c>
      <c r="AA61">
        <v>45</v>
      </c>
      <c r="AB61">
        <v>2.8000000864267349E-2</v>
      </c>
      <c r="AC61">
        <v>45</v>
      </c>
      <c r="AD61">
        <v>2.9999999329447746E-2</v>
      </c>
      <c r="AE61">
        <v>45</v>
      </c>
      <c r="AF61">
        <v>2.7000000700354576E-2</v>
      </c>
      <c r="AG61">
        <v>45</v>
      </c>
      <c r="AH61">
        <v>2.9999999329447746E-2</v>
      </c>
      <c r="AI61">
        <v>45</v>
      </c>
      <c r="AJ61">
        <v>2.8000000864267349E-2</v>
      </c>
      <c r="AK61">
        <v>45</v>
      </c>
      <c r="AL61">
        <v>2.9999999329447746E-2</v>
      </c>
      <c r="AM61">
        <v>45</v>
      </c>
      <c r="AN61">
        <v>3.2000001519918442E-2</v>
      </c>
      <c r="AO61">
        <v>45</v>
      </c>
      <c r="AP61">
        <v>3.0999999493360519E-2</v>
      </c>
    </row>
    <row r="62" spans="2:42" x14ac:dyDescent="0.2">
      <c r="B62" t="s">
        <v>191</v>
      </c>
      <c r="C62">
        <v>331</v>
      </c>
      <c r="D62">
        <v>9.9759998321533203</v>
      </c>
      <c r="E62">
        <v>335</v>
      </c>
      <c r="F62">
        <v>4.4470000267028809</v>
      </c>
      <c r="G62">
        <v>329</v>
      </c>
      <c r="H62">
        <v>6.7960000038146973</v>
      </c>
      <c r="I62">
        <v>337</v>
      </c>
      <c r="J62">
        <v>3.6059999465942383</v>
      </c>
      <c r="K62">
        <v>330</v>
      </c>
      <c r="L62">
        <v>8.7270002365112305</v>
      </c>
      <c r="M62">
        <v>328</v>
      </c>
      <c r="N62">
        <v>13.36400032043457</v>
      </c>
      <c r="O62">
        <v>330</v>
      </c>
      <c r="P62">
        <v>6.559999942779541</v>
      </c>
      <c r="Q62">
        <v>333</v>
      </c>
      <c r="R62">
        <v>6.0419998168945312</v>
      </c>
      <c r="S62">
        <v>335</v>
      </c>
      <c r="T62">
        <v>4.3249998092651367</v>
      </c>
      <c r="U62">
        <v>330</v>
      </c>
      <c r="V62">
        <v>9.8739995956420898</v>
      </c>
      <c r="W62">
        <v>335</v>
      </c>
      <c r="X62">
        <v>7.7969999313354492</v>
      </c>
      <c r="Y62">
        <v>335</v>
      </c>
      <c r="Z62">
        <v>7.1009998321533203</v>
      </c>
      <c r="AA62">
        <v>331</v>
      </c>
      <c r="AB62">
        <v>6.4809999465942383</v>
      </c>
      <c r="AC62">
        <v>333</v>
      </c>
      <c r="AD62">
        <v>8.3850002288818359</v>
      </c>
      <c r="AE62">
        <v>339</v>
      </c>
      <c r="AF62">
        <v>4.4260001182556152</v>
      </c>
      <c r="AG62">
        <v>329</v>
      </c>
      <c r="AH62">
        <v>11.515000343322754</v>
      </c>
      <c r="AI62">
        <v>333</v>
      </c>
      <c r="AJ62">
        <v>4.2010002136230469</v>
      </c>
      <c r="AK62">
        <v>336</v>
      </c>
      <c r="AL62">
        <v>3.9579999446868896</v>
      </c>
      <c r="AM62">
        <v>331</v>
      </c>
      <c r="AN62">
        <v>8.9870004653930664</v>
      </c>
      <c r="AO62">
        <v>336</v>
      </c>
      <c r="AP62">
        <v>6.4320001602172852</v>
      </c>
    </row>
    <row r="63" spans="2:42" x14ac:dyDescent="0.2">
      <c r="B63" t="s">
        <v>192</v>
      </c>
      <c r="C63">
        <v>198</v>
      </c>
      <c r="D63">
        <v>6.0170001983642578</v>
      </c>
      <c r="E63">
        <v>200</v>
      </c>
      <c r="F63">
        <v>6.3920001983642578</v>
      </c>
      <c r="G63">
        <v>198</v>
      </c>
      <c r="H63">
        <v>4.3060002326965332</v>
      </c>
      <c r="I63">
        <v>198</v>
      </c>
      <c r="J63">
        <v>5.7010002136230469</v>
      </c>
      <c r="K63">
        <v>201</v>
      </c>
      <c r="L63">
        <v>3.9140000343322754</v>
      </c>
      <c r="M63">
        <v>198</v>
      </c>
      <c r="N63">
        <v>4.4289999008178711</v>
      </c>
      <c r="O63">
        <v>201</v>
      </c>
      <c r="P63">
        <v>4.4660000801086426</v>
      </c>
      <c r="Q63">
        <v>198</v>
      </c>
      <c r="R63">
        <v>7.2839999198913574</v>
      </c>
      <c r="S63">
        <v>201</v>
      </c>
      <c r="T63">
        <v>3.5390000343322754</v>
      </c>
      <c r="U63">
        <v>198</v>
      </c>
      <c r="V63">
        <v>3.9249999523162842</v>
      </c>
      <c r="W63">
        <v>198</v>
      </c>
      <c r="X63">
        <v>3.5499999523162842</v>
      </c>
      <c r="Y63">
        <v>201</v>
      </c>
      <c r="Z63">
        <v>3.8680000305175781</v>
      </c>
      <c r="AA63">
        <v>198</v>
      </c>
      <c r="AB63">
        <v>6.7930002212524414</v>
      </c>
      <c r="AC63">
        <v>201</v>
      </c>
      <c r="AD63">
        <v>4.0679998397827148</v>
      </c>
      <c r="AE63">
        <v>198</v>
      </c>
      <c r="AF63">
        <v>5.1999998092651367</v>
      </c>
      <c r="AG63">
        <v>201</v>
      </c>
      <c r="AH63">
        <v>4.4159998893737793</v>
      </c>
      <c r="AI63">
        <v>201</v>
      </c>
      <c r="AJ63">
        <v>3.5439999103546143</v>
      </c>
      <c r="AK63">
        <v>201</v>
      </c>
      <c r="AL63">
        <v>4.8829998970031738</v>
      </c>
      <c r="AM63">
        <v>204</v>
      </c>
      <c r="AN63">
        <v>3.6180000305175781</v>
      </c>
      <c r="AO63">
        <v>198</v>
      </c>
      <c r="AP63">
        <v>3.121999979019165</v>
      </c>
    </row>
    <row r="64" spans="2:42" x14ac:dyDescent="0.2">
      <c r="B64" t="s">
        <v>197</v>
      </c>
      <c r="C64">
        <v>18</v>
      </c>
      <c r="D64">
        <v>11.564000129699707</v>
      </c>
      <c r="E64">
        <v>18</v>
      </c>
      <c r="F64">
        <v>11.321000099182129</v>
      </c>
      <c r="G64">
        <v>18</v>
      </c>
      <c r="H64">
        <v>11.550000190734863</v>
      </c>
      <c r="I64">
        <v>18</v>
      </c>
      <c r="J64">
        <v>11.836999893188477</v>
      </c>
      <c r="K64">
        <v>18</v>
      </c>
      <c r="L64">
        <v>11.491000175476074</v>
      </c>
      <c r="M64">
        <v>18</v>
      </c>
      <c r="N64">
        <v>11.373000144958496</v>
      </c>
      <c r="O64">
        <v>18</v>
      </c>
      <c r="P64">
        <v>11.47700023651123</v>
      </c>
      <c r="Q64">
        <v>18</v>
      </c>
      <c r="R64">
        <v>11.265000343322754</v>
      </c>
      <c r="S64">
        <v>18</v>
      </c>
      <c r="T64">
        <v>11.64799976348877</v>
      </c>
      <c r="U64">
        <v>18</v>
      </c>
      <c r="V64">
        <v>10.970000267028809</v>
      </c>
      <c r="W64">
        <v>18</v>
      </c>
      <c r="X64">
        <v>10.569999694824219</v>
      </c>
      <c r="Y64">
        <v>18</v>
      </c>
      <c r="Z64">
        <v>10.312000274658203</v>
      </c>
      <c r="AA64">
        <v>18</v>
      </c>
      <c r="AB64">
        <v>10.192999839782715</v>
      </c>
      <c r="AC64">
        <v>18</v>
      </c>
      <c r="AD64">
        <v>10.282999992370605</v>
      </c>
      <c r="AE64">
        <v>18</v>
      </c>
      <c r="AF64">
        <v>10.87399959564209</v>
      </c>
      <c r="AG64">
        <v>18</v>
      </c>
      <c r="AH64">
        <v>10.423000335693359</v>
      </c>
      <c r="AI64">
        <v>18</v>
      </c>
      <c r="AJ64">
        <v>10.489999771118164</v>
      </c>
      <c r="AK64">
        <v>18</v>
      </c>
      <c r="AL64">
        <v>10.640999794006348</v>
      </c>
      <c r="AM64">
        <v>18</v>
      </c>
      <c r="AN64">
        <v>10.715000152587891</v>
      </c>
      <c r="AO64">
        <v>18</v>
      </c>
      <c r="AP64">
        <v>10.458999633789062</v>
      </c>
    </row>
    <row r="65" spans="2:42" x14ac:dyDescent="0.2">
      <c r="B65" t="s">
        <v>198</v>
      </c>
      <c r="C65">
        <v>18</v>
      </c>
      <c r="D65">
        <v>11.578000068664551</v>
      </c>
      <c r="E65">
        <v>18</v>
      </c>
      <c r="F65">
        <v>11.321000099182129</v>
      </c>
      <c r="G65">
        <v>18</v>
      </c>
      <c r="H65">
        <v>11.545999526977539</v>
      </c>
      <c r="I65">
        <v>18</v>
      </c>
      <c r="J65">
        <v>11.828000068664551</v>
      </c>
      <c r="K65">
        <v>18</v>
      </c>
      <c r="L65">
        <v>11.484999656677246</v>
      </c>
      <c r="M65">
        <v>18</v>
      </c>
      <c r="N65">
        <v>11.38599967956543</v>
      </c>
      <c r="O65">
        <v>18</v>
      </c>
      <c r="P65">
        <v>11.526000022888184</v>
      </c>
      <c r="Q65">
        <v>18</v>
      </c>
      <c r="R65">
        <v>11.454000473022461</v>
      </c>
      <c r="S65">
        <v>18</v>
      </c>
      <c r="T65">
        <v>11.628999710083008</v>
      </c>
      <c r="U65">
        <v>18</v>
      </c>
      <c r="V65">
        <v>11.093000411987305</v>
      </c>
      <c r="W65">
        <v>18</v>
      </c>
      <c r="X65">
        <v>10.774999618530273</v>
      </c>
      <c r="Y65">
        <v>18</v>
      </c>
      <c r="Z65">
        <v>10.71399974822998</v>
      </c>
      <c r="AA65">
        <v>18</v>
      </c>
      <c r="AB65">
        <v>10.519000053405762</v>
      </c>
      <c r="AC65">
        <v>18</v>
      </c>
      <c r="AD65">
        <v>10.788000106811523</v>
      </c>
      <c r="AE65">
        <v>18</v>
      </c>
      <c r="AF65">
        <v>10.736000061035156</v>
      </c>
      <c r="AG65">
        <v>18</v>
      </c>
      <c r="AH65">
        <v>10.657999992370605</v>
      </c>
      <c r="AI65">
        <v>18</v>
      </c>
      <c r="AJ65">
        <v>10.819999694824219</v>
      </c>
      <c r="AK65">
        <v>18</v>
      </c>
      <c r="AL65">
        <v>10.784999847412109</v>
      </c>
      <c r="AM65">
        <v>18</v>
      </c>
      <c r="AN65">
        <v>10.975000381469727</v>
      </c>
      <c r="AO65">
        <v>18</v>
      </c>
      <c r="AP65">
        <v>10.635000228881836</v>
      </c>
    </row>
    <row r="66" spans="2:42" x14ac:dyDescent="0.2">
      <c r="B66" t="s">
        <v>16</v>
      </c>
      <c r="C66">
        <v>18</v>
      </c>
      <c r="D66">
        <v>11.819999694824219</v>
      </c>
      <c r="E66">
        <v>18</v>
      </c>
      <c r="F66">
        <v>11.562000274658203</v>
      </c>
      <c r="G66">
        <v>18</v>
      </c>
      <c r="H66">
        <v>11.76099967956543</v>
      </c>
      <c r="I66">
        <v>18</v>
      </c>
      <c r="J66">
        <v>11.788000106811523</v>
      </c>
      <c r="K66">
        <v>18</v>
      </c>
      <c r="L66">
        <v>12.005999565124512</v>
      </c>
      <c r="M66">
        <v>18</v>
      </c>
      <c r="N66">
        <v>11.73900032043457</v>
      </c>
      <c r="O66">
        <v>18</v>
      </c>
      <c r="P66">
        <v>11.904999732971191</v>
      </c>
      <c r="Q66">
        <v>18</v>
      </c>
      <c r="R66">
        <v>11.722000122070312</v>
      </c>
      <c r="S66">
        <v>18</v>
      </c>
      <c r="T66">
        <v>11.991000175476074</v>
      </c>
      <c r="U66">
        <v>18</v>
      </c>
      <c r="V66">
        <v>11.468999862670898</v>
      </c>
      <c r="W66">
        <v>18</v>
      </c>
      <c r="X66">
        <v>10.810000419616699</v>
      </c>
      <c r="Y66">
        <v>18</v>
      </c>
      <c r="Z66">
        <v>10.338000297546387</v>
      </c>
      <c r="AA66">
        <v>18</v>
      </c>
      <c r="AB66">
        <v>10.814999580383301</v>
      </c>
      <c r="AC66">
        <v>18</v>
      </c>
      <c r="AD66">
        <v>10.814999580383301</v>
      </c>
      <c r="AE66">
        <v>18</v>
      </c>
      <c r="AF66">
        <v>10.715000152587891</v>
      </c>
      <c r="AG66">
        <v>18</v>
      </c>
      <c r="AH66">
        <v>10.744000434875488</v>
      </c>
      <c r="AI66">
        <v>18</v>
      </c>
      <c r="AJ66">
        <v>10.913000106811523</v>
      </c>
      <c r="AK66">
        <v>18</v>
      </c>
      <c r="AL66">
        <v>11.071999549865723</v>
      </c>
      <c r="AM66">
        <v>18</v>
      </c>
      <c r="AN66">
        <v>10.855999946594238</v>
      </c>
      <c r="AO66">
        <v>18</v>
      </c>
      <c r="AP66">
        <v>10.734000205993652</v>
      </c>
    </row>
    <row r="67" spans="2:42" x14ac:dyDescent="0.2">
      <c r="B67" t="s">
        <v>199</v>
      </c>
      <c r="C67">
        <v>18</v>
      </c>
      <c r="D67">
        <v>11.85099983215332</v>
      </c>
      <c r="E67">
        <v>18</v>
      </c>
      <c r="F67">
        <v>11.579000473022461</v>
      </c>
      <c r="G67">
        <v>18</v>
      </c>
      <c r="H67">
        <v>11.770000457763672</v>
      </c>
      <c r="I67">
        <v>18</v>
      </c>
      <c r="J67">
        <v>11.793999671936035</v>
      </c>
      <c r="K67">
        <v>18</v>
      </c>
      <c r="L67">
        <v>12.01099967956543</v>
      </c>
      <c r="M67">
        <v>18</v>
      </c>
      <c r="N67">
        <v>11.743000030517578</v>
      </c>
      <c r="O67">
        <v>18</v>
      </c>
      <c r="P67">
        <v>11.923999786376953</v>
      </c>
      <c r="Q67">
        <v>18</v>
      </c>
      <c r="R67">
        <v>11.75100040435791</v>
      </c>
      <c r="S67">
        <v>18</v>
      </c>
      <c r="T67">
        <v>12.031000137329102</v>
      </c>
      <c r="U67">
        <v>18</v>
      </c>
      <c r="V67">
        <v>11.432000160217285</v>
      </c>
      <c r="W67">
        <v>18</v>
      </c>
      <c r="X67">
        <v>10.835000038146973</v>
      </c>
      <c r="Y67">
        <v>18</v>
      </c>
      <c r="Z67">
        <v>10.354000091552734</v>
      </c>
      <c r="AA67">
        <v>18</v>
      </c>
      <c r="AB67">
        <v>10.838000297546387</v>
      </c>
      <c r="AC67">
        <v>18</v>
      </c>
      <c r="AD67">
        <v>10.835000038146973</v>
      </c>
      <c r="AE67">
        <v>18</v>
      </c>
      <c r="AF67">
        <v>10.720999717712402</v>
      </c>
      <c r="AG67">
        <v>18</v>
      </c>
      <c r="AH67">
        <v>10.767999649047852</v>
      </c>
      <c r="AI67">
        <v>18</v>
      </c>
      <c r="AJ67">
        <v>10.935000419616699</v>
      </c>
      <c r="AK67">
        <v>18</v>
      </c>
      <c r="AL67">
        <v>11.093999862670898</v>
      </c>
      <c r="AM67">
        <v>18</v>
      </c>
      <c r="AN67">
        <v>10.87600040435791</v>
      </c>
      <c r="AO67">
        <v>18</v>
      </c>
      <c r="AP67">
        <v>10.753999710083008</v>
      </c>
    </row>
    <row r="68" spans="2:42" x14ac:dyDescent="0.2">
      <c r="B68" t="s">
        <v>200</v>
      </c>
      <c r="C68">
        <v>18</v>
      </c>
      <c r="D68">
        <v>11.869999885559082</v>
      </c>
      <c r="E68">
        <v>18</v>
      </c>
      <c r="F68">
        <v>11.612000465393066</v>
      </c>
      <c r="G68">
        <v>18</v>
      </c>
      <c r="H68">
        <v>11.803999900817871</v>
      </c>
      <c r="I68">
        <v>18</v>
      </c>
      <c r="J68">
        <v>11.845000267028809</v>
      </c>
      <c r="K68">
        <v>18</v>
      </c>
      <c r="L68">
        <v>11.937000274658203</v>
      </c>
      <c r="M68">
        <v>18</v>
      </c>
      <c r="N68">
        <v>11.817000389099121</v>
      </c>
      <c r="O68">
        <v>18</v>
      </c>
      <c r="P68">
        <v>11.697999954223633</v>
      </c>
      <c r="Q68">
        <v>18</v>
      </c>
      <c r="R68">
        <v>11.758999824523926</v>
      </c>
      <c r="S68">
        <v>18</v>
      </c>
      <c r="T68">
        <v>12.02299976348877</v>
      </c>
      <c r="U68">
        <v>18</v>
      </c>
      <c r="V68">
        <v>11.21399974822998</v>
      </c>
      <c r="W68">
        <v>18</v>
      </c>
      <c r="X68">
        <v>10.812000274658203</v>
      </c>
      <c r="Y68">
        <v>18</v>
      </c>
      <c r="Z68">
        <v>10.644000053405762</v>
      </c>
      <c r="AA68">
        <v>18</v>
      </c>
      <c r="AB68">
        <v>10.652999877929688</v>
      </c>
      <c r="AC68">
        <v>18</v>
      </c>
      <c r="AD68">
        <v>10.883999824523926</v>
      </c>
      <c r="AE68">
        <v>18</v>
      </c>
      <c r="AF68">
        <v>10.951999664306641</v>
      </c>
      <c r="AG68">
        <v>18</v>
      </c>
      <c r="AH68">
        <v>10.760000228881836</v>
      </c>
      <c r="AI68">
        <v>18</v>
      </c>
      <c r="AJ68">
        <v>10.842000007629395</v>
      </c>
      <c r="AK68">
        <v>18</v>
      </c>
      <c r="AL68">
        <v>10.760000228881836</v>
      </c>
      <c r="AM68">
        <v>18</v>
      </c>
      <c r="AN68">
        <v>10.706999778747559</v>
      </c>
      <c r="AO68">
        <v>18</v>
      </c>
      <c r="AP68">
        <v>10.689000129699707</v>
      </c>
    </row>
    <row r="69" spans="2:42" x14ac:dyDescent="0.2">
      <c r="B69" t="s">
        <v>201</v>
      </c>
      <c r="C69">
        <v>664</v>
      </c>
      <c r="D69">
        <v>219.81900024414062</v>
      </c>
      <c r="E69">
        <v>665</v>
      </c>
      <c r="F69">
        <v>232.81500244140625</v>
      </c>
      <c r="G69">
        <v>666</v>
      </c>
      <c r="H69">
        <v>405.864013671875</v>
      </c>
      <c r="I69">
        <v>665</v>
      </c>
      <c r="J69">
        <v>238.83299255371094</v>
      </c>
      <c r="K69">
        <v>664</v>
      </c>
      <c r="L69">
        <v>369.79501342773438</v>
      </c>
      <c r="M69">
        <v>665</v>
      </c>
      <c r="N69">
        <v>377.52398681640625</v>
      </c>
      <c r="O69">
        <v>665</v>
      </c>
      <c r="P69">
        <v>345.239990234375</v>
      </c>
      <c r="Q69">
        <v>664</v>
      </c>
      <c r="R69">
        <v>519.6519775390625</v>
      </c>
      <c r="S69">
        <v>665</v>
      </c>
      <c r="T69">
        <v>343.98800659179688</v>
      </c>
      <c r="U69">
        <v>665</v>
      </c>
      <c r="V69">
        <v>221.17500305175781</v>
      </c>
      <c r="W69">
        <v>664</v>
      </c>
      <c r="X69">
        <v>428.03799438476562</v>
      </c>
      <c r="Y69">
        <v>665</v>
      </c>
      <c r="Z69">
        <v>223.98899841308594</v>
      </c>
      <c r="AA69">
        <v>664</v>
      </c>
      <c r="AB69">
        <v>501.96600341796875</v>
      </c>
      <c r="AC69">
        <v>664</v>
      </c>
      <c r="AD69">
        <v>290.53500366210938</v>
      </c>
      <c r="AE69">
        <v>664</v>
      </c>
      <c r="AF69">
        <v>361.44400024414062</v>
      </c>
      <c r="AG69">
        <v>664</v>
      </c>
      <c r="AH69">
        <v>287.88198852539062</v>
      </c>
      <c r="AI69">
        <v>664</v>
      </c>
      <c r="AJ69">
        <v>256.6090087890625</v>
      </c>
      <c r="AK69">
        <v>665</v>
      </c>
      <c r="AL69">
        <v>346.83999633789062</v>
      </c>
      <c r="AM69">
        <v>664</v>
      </c>
      <c r="AN69">
        <v>373.99301147460938</v>
      </c>
      <c r="AO69">
        <v>665</v>
      </c>
      <c r="AP69">
        <v>273.36300659179688</v>
      </c>
    </row>
    <row r="70" spans="2:42" x14ac:dyDescent="0.2">
      <c r="B70" t="s">
        <v>202</v>
      </c>
      <c r="C70">
        <v>24</v>
      </c>
      <c r="D70">
        <v>7.5019998550415039</v>
      </c>
      <c r="E70">
        <v>24</v>
      </c>
      <c r="F70">
        <v>7.8499999046325684</v>
      </c>
      <c r="G70">
        <v>24</v>
      </c>
      <c r="H70">
        <v>7.5900001525878906</v>
      </c>
      <c r="I70">
        <v>24</v>
      </c>
      <c r="J70">
        <v>7.7270002365112305</v>
      </c>
      <c r="K70">
        <v>24</v>
      </c>
      <c r="L70">
        <v>8.125</v>
      </c>
      <c r="M70">
        <v>24</v>
      </c>
      <c r="N70">
        <v>7.8090000152587891</v>
      </c>
      <c r="O70">
        <v>24</v>
      </c>
      <c r="P70">
        <v>7.7529997825622559</v>
      </c>
      <c r="Q70">
        <v>24</v>
      </c>
      <c r="R70">
        <v>7.995999813079834</v>
      </c>
      <c r="S70">
        <v>24</v>
      </c>
      <c r="T70">
        <v>7.6009998321533203</v>
      </c>
      <c r="U70">
        <v>24</v>
      </c>
      <c r="V70">
        <v>8.949000358581543</v>
      </c>
      <c r="W70">
        <v>24</v>
      </c>
      <c r="X70">
        <v>8.1999998092651367</v>
      </c>
      <c r="Y70">
        <v>24</v>
      </c>
      <c r="Z70">
        <v>7.4369997978210449</v>
      </c>
      <c r="AA70">
        <v>24</v>
      </c>
      <c r="AB70">
        <v>8.0089998245239258</v>
      </c>
      <c r="AC70">
        <v>24</v>
      </c>
      <c r="AD70">
        <v>7.5380001068115234</v>
      </c>
      <c r="AE70">
        <v>24</v>
      </c>
      <c r="AF70">
        <v>6.6310000419616699</v>
      </c>
      <c r="AG70">
        <v>24</v>
      </c>
      <c r="AH70">
        <v>6.820000171661377</v>
      </c>
      <c r="AI70">
        <v>24</v>
      </c>
      <c r="AJ70">
        <v>6.6630001068115234</v>
      </c>
      <c r="AK70">
        <v>24</v>
      </c>
      <c r="AL70">
        <v>6.7100000381469727</v>
      </c>
      <c r="AM70">
        <v>24</v>
      </c>
      <c r="AN70">
        <v>6.5689997673034668</v>
      </c>
      <c r="AO70">
        <v>24</v>
      </c>
      <c r="AP70">
        <v>6.7680001258850098</v>
      </c>
    </row>
    <row r="71" spans="2:42" x14ac:dyDescent="0.2">
      <c r="B71" t="s">
        <v>203</v>
      </c>
      <c r="C71">
        <v>12</v>
      </c>
      <c r="D71">
        <v>615.2860107421875</v>
      </c>
      <c r="E71">
        <v>12</v>
      </c>
      <c r="F71">
        <v>609.3079833984375</v>
      </c>
      <c r="G71">
        <v>12</v>
      </c>
      <c r="H71">
        <v>558.4630126953125</v>
      </c>
      <c r="I71">
        <v>12</v>
      </c>
      <c r="J71">
        <v>465.45498657226562</v>
      </c>
      <c r="K71">
        <v>12</v>
      </c>
      <c r="L71">
        <v>470.89599609375</v>
      </c>
      <c r="M71">
        <v>12</v>
      </c>
      <c r="N71">
        <v>470.5570068359375</v>
      </c>
      <c r="O71">
        <v>12</v>
      </c>
      <c r="P71">
        <v>473.385009765625</v>
      </c>
      <c r="Q71">
        <v>12</v>
      </c>
      <c r="R71">
        <v>472.7650146484375</v>
      </c>
      <c r="S71">
        <v>12</v>
      </c>
      <c r="T71">
        <v>468.85299682617188</v>
      </c>
      <c r="U71">
        <v>12</v>
      </c>
      <c r="V71">
        <v>460.92001342773438</v>
      </c>
      <c r="W71">
        <v>12</v>
      </c>
      <c r="X71">
        <v>474.31201171875</v>
      </c>
      <c r="Y71">
        <v>12</v>
      </c>
      <c r="Z71">
        <v>468.88198852539062</v>
      </c>
      <c r="AA71">
        <v>12</v>
      </c>
      <c r="AB71">
        <v>462.49798583984375</v>
      </c>
      <c r="AC71">
        <v>12</v>
      </c>
      <c r="AD71">
        <v>481.96499633789062</v>
      </c>
      <c r="AE71">
        <v>12</v>
      </c>
      <c r="AF71">
        <v>473.52200317382812</v>
      </c>
      <c r="AG71">
        <v>12</v>
      </c>
      <c r="AH71">
        <v>467.6409912109375</v>
      </c>
      <c r="AI71">
        <v>12</v>
      </c>
      <c r="AJ71">
        <v>475.57101440429688</v>
      </c>
      <c r="AK71">
        <v>12</v>
      </c>
      <c r="AL71">
        <v>461.5360107421875</v>
      </c>
      <c r="AM71">
        <v>12</v>
      </c>
      <c r="AN71">
        <v>478.6090087890625</v>
      </c>
      <c r="AO71">
        <v>12</v>
      </c>
      <c r="AP71">
        <v>481.66500854492188</v>
      </c>
    </row>
    <row r="72" spans="2:42" x14ac:dyDescent="0.2">
      <c r="B72" t="s">
        <v>204</v>
      </c>
      <c r="C72">
        <v>154</v>
      </c>
      <c r="D72">
        <v>341.85699462890625</v>
      </c>
      <c r="E72">
        <v>156</v>
      </c>
      <c r="F72">
        <v>225.25199890136719</v>
      </c>
      <c r="G72">
        <v>156</v>
      </c>
      <c r="H72">
        <v>222.67900085449219</v>
      </c>
      <c r="I72">
        <v>160</v>
      </c>
      <c r="J72">
        <v>175.11799621582031</v>
      </c>
      <c r="K72">
        <v>160</v>
      </c>
      <c r="L72">
        <v>143.40400695800781</v>
      </c>
      <c r="M72">
        <v>152</v>
      </c>
      <c r="N72">
        <v>352.96200561523438</v>
      </c>
      <c r="O72">
        <v>154</v>
      </c>
      <c r="P72">
        <v>199.07099914550781</v>
      </c>
      <c r="Q72">
        <v>158</v>
      </c>
      <c r="R72">
        <v>209.68800354003906</v>
      </c>
      <c r="S72">
        <v>158</v>
      </c>
      <c r="T72">
        <v>226.70599365234375</v>
      </c>
      <c r="U72">
        <v>154</v>
      </c>
      <c r="V72">
        <v>184.21099853515625</v>
      </c>
      <c r="W72">
        <v>160</v>
      </c>
      <c r="X72">
        <v>133.55299377441406</v>
      </c>
      <c r="Y72">
        <v>152</v>
      </c>
      <c r="Z72">
        <v>178.343994140625</v>
      </c>
      <c r="AA72">
        <v>154</v>
      </c>
      <c r="AB72">
        <v>221.14700317382812</v>
      </c>
      <c r="AC72">
        <v>154</v>
      </c>
      <c r="AD72">
        <v>242.95700073242188</v>
      </c>
      <c r="AE72">
        <v>156</v>
      </c>
      <c r="AF72">
        <v>173.07400512695312</v>
      </c>
      <c r="AG72">
        <v>154</v>
      </c>
      <c r="AH72">
        <v>275.2659912109375</v>
      </c>
      <c r="AI72">
        <v>160</v>
      </c>
      <c r="AJ72">
        <v>133.32899475097656</v>
      </c>
      <c r="AK72">
        <v>158</v>
      </c>
      <c r="AL72">
        <v>206.88499450683594</v>
      </c>
      <c r="AM72">
        <v>160</v>
      </c>
      <c r="AN72">
        <v>141.0679931640625</v>
      </c>
      <c r="AO72">
        <v>158</v>
      </c>
      <c r="AP72">
        <v>214.07400512695312</v>
      </c>
    </row>
    <row r="73" spans="2:42" x14ac:dyDescent="0.2">
      <c r="B73" t="s">
        <v>205</v>
      </c>
      <c r="C73">
        <v>6</v>
      </c>
      <c r="D73">
        <v>5.2000001072883606E-2</v>
      </c>
      <c r="E73">
        <v>6</v>
      </c>
      <c r="F73">
        <v>5.000000074505806E-2</v>
      </c>
      <c r="G73">
        <v>6</v>
      </c>
      <c r="H73">
        <v>5.0999999046325684E-2</v>
      </c>
      <c r="I73">
        <v>6</v>
      </c>
      <c r="J73">
        <v>5.4999999701976776E-2</v>
      </c>
      <c r="K73">
        <v>6</v>
      </c>
      <c r="L73">
        <v>5.4999999701976776E-2</v>
      </c>
      <c r="M73">
        <v>6</v>
      </c>
      <c r="N73">
        <v>5.4000001400709152E-2</v>
      </c>
      <c r="O73">
        <v>6</v>
      </c>
      <c r="P73">
        <v>5.9999998658895493E-2</v>
      </c>
      <c r="Q73">
        <v>6</v>
      </c>
      <c r="R73">
        <v>5.4999999701976776E-2</v>
      </c>
      <c r="S73">
        <v>6</v>
      </c>
      <c r="T73">
        <v>5.2000001072883606E-2</v>
      </c>
      <c r="U73">
        <v>6</v>
      </c>
      <c r="V73">
        <v>5.7999998331069946E-2</v>
      </c>
      <c r="W73">
        <v>6</v>
      </c>
      <c r="X73">
        <v>5.9999998658895493E-2</v>
      </c>
      <c r="Y73">
        <v>6</v>
      </c>
      <c r="Z73">
        <v>5.6000001728534698E-2</v>
      </c>
      <c r="AA73">
        <v>6</v>
      </c>
      <c r="AB73">
        <v>5.7000000029802322E-2</v>
      </c>
      <c r="AC73">
        <v>6</v>
      </c>
      <c r="AD73">
        <v>5.299999937415123E-2</v>
      </c>
      <c r="AE73">
        <v>6</v>
      </c>
      <c r="AF73">
        <v>5.7999998331069946E-2</v>
      </c>
      <c r="AG73">
        <v>6</v>
      </c>
      <c r="AH73">
        <v>5.7999998331069946E-2</v>
      </c>
      <c r="AI73">
        <v>6</v>
      </c>
      <c r="AJ73">
        <v>5.9000000357627869E-2</v>
      </c>
      <c r="AK73">
        <v>6</v>
      </c>
      <c r="AL73">
        <v>5.7000000029802322E-2</v>
      </c>
      <c r="AM73">
        <v>6</v>
      </c>
      <c r="AN73">
        <v>5.7999998331069946E-2</v>
      </c>
      <c r="AO73">
        <v>6</v>
      </c>
      <c r="AP73">
        <v>5.9999998658895493E-2</v>
      </c>
    </row>
    <row r="74" spans="2:42" x14ac:dyDescent="0.2">
      <c r="B74" t="s">
        <v>206</v>
      </c>
      <c r="C74">
        <v>42</v>
      </c>
      <c r="D74">
        <v>0.89300000667572021</v>
      </c>
      <c r="E74">
        <v>42</v>
      </c>
      <c r="F74">
        <v>0.80699998140335083</v>
      </c>
      <c r="G74">
        <v>42</v>
      </c>
      <c r="H74">
        <v>0.76399999856948853</v>
      </c>
      <c r="I74">
        <v>42</v>
      </c>
      <c r="J74">
        <v>0.79699999094009399</v>
      </c>
      <c r="K74">
        <v>42</v>
      </c>
      <c r="L74">
        <v>0.76399999856948853</v>
      </c>
      <c r="M74">
        <v>42</v>
      </c>
      <c r="N74">
        <v>0.81199997663497925</v>
      </c>
      <c r="O74">
        <v>42</v>
      </c>
      <c r="P74">
        <v>0.7839999794960022</v>
      </c>
      <c r="Q74">
        <v>42</v>
      </c>
      <c r="R74">
        <v>0.80400002002716064</v>
      </c>
      <c r="S74">
        <v>42</v>
      </c>
      <c r="T74">
        <v>0.79799997806549072</v>
      </c>
      <c r="U74">
        <v>42</v>
      </c>
      <c r="V74">
        <v>0.7929999828338623</v>
      </c>
      <c r="W74">
        <v>42</v>
      </c>
      <c r="X74">
        <v>0.79799997806549072</v>
      </c>
      <c r="Y74">
        <v>42</v>
      </c>
      <c r="Z74">
        <v>0.80099999904632568</v>
      </c>
      <c r="AA74">
        <v>42</v>
      </c>
      <c r="AB74">
        <v>0.84799998998641968</v>
      </c>
      <c r="AC74">
        <v>42</v>
      </c>
      <c r="AD74">
        <v>0.78100001811981201</v>
      </c>
      <c r="AE74">
        <v>42</v>
      </c>
      <c r="AF74">
        <v>0.8399999737739563</v>
      </c>
      <c r="AG74">
        <v>42</v>
      </c>
      <c r="AH74">
        <v>0.82300001382827759</v>
      </c>
      <c r="AI74">
        <v>42</v>
      </c>
      <c r="AJ74">
        <v>0.78600001335144043</v>
      </c>
      <c r="AK74">
        <v>42</v>
      </c>
      <c r="AL74">
        <v>0.75999999046325684</v>
      </c>
      <c r="AM74">
        <v>42</v>
      </c>
      <c r="AN74">
        <v>0.77999997138977051</v>
      </c>
      <c r="AO74">
        <v>42</v>
      </c>
      <c r="AP74">
        <v>0.81099998950958252</v>
      </c>
    </row>
    <row r="75" spans="2:42" x14ac:dyDescent="0.2">
      <c r="B75" t="s">
        <v>207</v>
      </c>
      <c r="C75">
        <v>42</v>
      </c>
      <c r="D75">
        <v>0.89600002765655518</v>
      </c>
      <c r="E75">
        <v>42</v>
      </c>
      <c r="F75">
        <v>0.83700001239776611</v>
      </c>
      <c r="G75">
        <v>42</v>
      </c>
      <c r="H75">
        <v>0.76099997758865356</v>
      </c>
      <c r="I75">
        <v>42</v>
      </c>
      <c r="J75">
        <v>0.79500001668930054</v>
      </c>
      <c r="K75">
        <v>42</v>
      </c>
      <c r="L75">
        <v>0.76099997758865356</v>
      </c>
      <c r="M75">
        <v>42</v>
      </c>
      <c r="N75">
        <v>0.80900001525878906</v>
      </c>
      <c r="O75">
        <v>42</v>
      </c>
      <c r="P75">
        <v>0.78100001811981201</v>
      </c>
      <c r="Q75">
        <v>42</v>
      </c>
      <c r="R75">
        <v>0.80099999904632568</v>
      </c>
      <c r="S75">
        <v>42</v>
      </c>
      <c r="T75">
        <v>0.79500001668930054</v>
      </c>
      <c r="U75">
        <v>42</v>
      </c>
      <c r="V75">
        <v>0.78899997472763062</v>
      </c>
      <c r="W75">
        <v>42</v>
      </c>
      <c r="X75">
        <v>0.79500001668930054</v>
      </c>
      <c r="Y75">
        <v>42</v>
      </c>
      <c r="Z75">
        <v>0.79600000381469727</v>
      </c>
      <c r="AA75">
        <v>42</v>
      </c>
      <c r="AB75">
        <v>0.84399998188018799</v>
      </c>
      <c r="AC75">
        <v>42</v>
      </c>
      <c r="AD75">
        <v>0.77799999713897705</v>
      </c>
      <c r="AE75">
        <v>42</v>
      </c>
      <c r="AF75">
        <v>0.83899998664855957</v>
      </c>
      <c r="AG75">
        <v>42</v>
      </c>
      <c r="AH75">
        <v>0.82300001382827759</v>
      </c>
      <c r="AI75">
        <v>42</v>
      </c>
      <c r="AJ75">
        <v>0.7839999794960022</v>
      </c>
      <c r="AK75">
        <v>42</v>
      </c>
      <c r="AL75">
        <v>0.75900000333786011</v>
      </c>
      <c r="AM75">
        <v>42</v>
      </c>
      <c r="AN75">
        <v>0.77899998426437378</v>
      </c>
      <c r="AO75">
        <v>42</v>
      </c>
      <c r="AP75">
        <v>0.80900001525878906</v>
      </c>
    </row>
    <row r="76" spans="2:42" x14ac:dyDescent="0.2">
      <c r="B76" t="s">
        <v>208</v>
      </c>
      <c r="C76">
        <v>42</v>
      </c>
      <c r="D76">
        <v>0.90200001001358032</v>
      </c>
      <c r="E76">
        <v>42</v>
      </c>
      <c r="F76">
        <v>0.8399999737739563</v>
      </c>
      <c r="G76">
        <v>42</v>
      </c>
      <c r="H76">
        <v>0.79500001668930054</v>
      </c>
      <c r="I76">
        <v>42</v>
      </c>
      <c r="J76">
        <v>0.79799997806549072</v>
      </c>
      <c r="K76">
        <v>42</v>
      </c>
      <c r="L76">
        <v>0.76599997282028198</v>
      </c>
      <c r="M76">
        <v>42</v>
      </c>
      <c r="N76">
        <v>0.81300002336502075</v>
      </c>
      <c r="O76">
        <v>42</v>
      </c>
      <c r="P76">
        <v>0.77999997138977051</v>
      </c>
      <c r="Q76">
        <v>42</v>
      </c>
      <c r="R76">
        <v>0.80500000715255737</v>
      </c>
      <c r="S76">
        <v>42</v>
      </c>
      <c r="T76">
        <v>0.79900002479553223</v>
      </c>
      <c r="U76">
        <v>42</v>
      </c>
      <c r="V76">
        <v>0.7929999828338623</v>
      </c>
      <c r="W76">
        <v>42</v>
      </c>
      <c r="X76">
        <v>0.80000001192092896</v>
      </c>
      <c r="Y76">
        <v>42</v>
      </c>
      <c r="Z76">
        <v>0.80000001192092896</v>
      </c>
      <c r="AA76">
        <v>42</v>
      </c>
      <c r="AB76">
        <v>0.84700000286102295</v>
      </c>
      <c r="AC76">
        <v>42</v>
      </c>
      <c r="AD76">
        <v>0.7839999794960022</v>
      </c>
      <c r="AE76">
        <v>42</v>
      </c>
      <c r="AF76">
        <v>0.84500002861022949</v>
      </c>
      <c r="AG76">
        <v>42</v>
      </c>
      <c r="AH76">
        <v>0.82700002193450928</v>
      </c>
      <c r="AI76">
        <v>42</v>
      </c>
      <c r="AJ76">
        <v>0.78899997472763062</v>
      </c>
      <c r="AK76">
        <v>42</v>
      </c>
      <c r="AL76">
        <v>0.76399999856948853</v>
      </c>
      <c r="AM76">
        <v>42</v>
      </c>
      <c r="AN76">
        <v>0.7839999794960022</v>
      </c>
      <c r="AO76">
        <v>42</v>
      </c>
      <c r="AP76">
        <v>0.81499999761581421</v>
      </c>
    </row>
    <row r="77" spans="2:42" x14ac:dyDescent="0.2">
      <c r="B77" t="s">
        <v>209</v>
      </c>
      <c r="C77">
        <v>42</v>
      </c>
      <c r="D77">
        <v>0.89600002765655518</v>
      </c>
      <c r="E77">
        <v>42</v>
      </c>
      <c r="F77">
        <v>0.83499997854232788</v>
      </c>
      <c r="G77">
        <v>42</v>
      </c>
      <c r="H77">
        <v>0.81499999761581421</v>
      </c>
      <c r="I77">
        <v>42</v>
      </c>
      <c r="J77">
        <v>0.79699999094009399</v>
      </c>
      <c r="K77">
        <v>42</v>
      </c>
      <c r="L77">
        <v>0.75999999046325684</v>
      </c>
      <c r="M77">
        <v>42</v>
      </c>
      <c r="N77">
        <v>0.80699998140335083</v>
      </c>
      <c r="O77">
        <v>42</v>
      </c>
      <c r="P77">
        <v>0.77799999713897705</v>
      </c>
      <c r="Q77">
        <v>42</v>
      </c>
      <c r="R77">
        <v>0.80099999904632568</v>
      </c>
      <c r="S77">
        <v>42</v>
      </c>
      <c r="T77">
        <v>0.79400002956390381</v>
      </c>
      <c r="U77">
        <v>42</v>
      </c>
      <c r="V77">
        <v>0.78799998760223389</v>
      </c>
      <c r="W77">
        <v>42</v>
      </c>
      <c r="X77">
        <v>0.79400002956390381</v>
      </c>
      <c r="Y77">
        <v>42</v>
      </c>
      <c r="Z77">
        <v>0.7929999828338623</v>
      </c>
      <c r="AA77">
        <v>42</v>
      </c>
      <c r="AB77">
        <v>0.84200000762939453</v>
      </c>
      <c r="AC77">
        <v>42</v>
      </c>
      <c r="AD77">
        <v>0.77899998426437378</v>
      </c>
      <c r="AE77">
        <v>42</v>
      </c>
      <c r="AF77">
        <v>0.8410000205039978</v>
      </c>
      <c r="AG77">
        <v>42</v>
      </c>
      <c r="AH77">
        <v>0.82300001382827759</v>
      </c>
      <c r="AI77">
        <v>42</v>
      </c>
      <c r="AJ77">
        <v>0.78600001335144043</v>
      </c>
      <c r="AK77">
        <v>42</v>
      </c>
      <c r="AL77">
        <v>0.75999999046325684</v>
      </c>
      <c r="AM77">
        <v>42</v>
      </c>
      <c r="AN77">
        <v>0.78100001811981201</v>
      </c>
      <c r="AO77">
        <v>42</v>
      </c>
      <c r="AP77">
        <v>0.81199997663497925</v>
      </c>
    </row>
    <row r="78" spans="2:42" x14ac:dyDescent="0.2">
      <c r="B78" t="s">
        <v>210</v>
      </c>
      <c r="C78">
        <v>3</v>
      </c>
      <c r="D78">
        <v>16.638999938964844</v>
      </c>
      <c r="E78">
        <v>3</v>
      </c>
      <c r="F78">
        <v>15.512999534606934</v>
      </c>
      <c r="G78">
        <v>3</v>
      </c>
      <c r="H78">
        <v>15.866999626159668</v>
      </c>
      <c r="I78">
        <v>3</v>
      </c>
      <c r="J78">
        <v>15.555999755859375</v>
      </c>
      <c r="K78">
        <v>3</v>
      </c>
      <c r="L78">
        <v>15.954999923706055</v>
      </c>
      <c r="M78">
        <v>3</v>
      </c>
      <c r="N78">
        <v>15.510000228881836</v>
      </c>
      <c r="O78">
        <v>3</v>
      </c>
      <c r="P78">
        <v>15.692000389099121</v>
      </c>
      <c r="Q78">
        <v>3</v>
      </c>
      <c r="R78">
        <v>15.795999526977539</v>
      </c>
      <c r="S78">
        <v>3</v>
      </c>
      <c r="T78">
        <v>16.042999267578125</v>
      </c>
      <c r="U78">
        <v>3</v>
      </c>
      <c r="V78">
        <v>15.784999847412109</v>
      </c>
      <c r="W78">
        <v>3</v>
      </c>
      <c r="X78">
        <v>15.621999740600586</v>
      </c>
      <c r="Y78">
        <v>3</v>
      </c>
      <c r="Z78">
        <v>15.36299991607666</v>
      </c>
      <c r="AA78">
        <v>3</v>
      </c>
      <c r="AB78">
        <v>15.701000213623047</v>
      </c>
      <c r="AC78">
        <v>3</v>
      </c>
      <c r="AD78">
        <v>16.107999801635742</v>
      </c>
      <c r="AE78">
        <v>3</v>
      </c>
      <c r="AF78">
        <v>15.963000297546387</v>
      </c>
      <c r="AG78">
        <v>3</v>
      </c>
      <c r="AH78">
        <v>15.703000068664551</v>
      </c>
      <c r="AI78">
        <v>3</v>
      </c>
      <c r="AJ78">
        <v>15.220999717712402</v>
      </c>
      <c r="AK78">
        <v>3</v>
      </c>
      <c r="AL78">
        <v>15.35200023651123</v>
      </c>
      <c r="AM78">
        <v>3</v>
      </c>
      <c r="AN78">
        <v>15.581999778747559</v>
      </c>
      <c r="AO78">
        <v>3</v>
      </c>
      <c r="AP78">
        <v>15.112000465393066</v>
      </c>
    </row>
    <row r="79" spans="2:42" x14ac:dyDescent="0.2">
      <c r="B79" t="s">
        <v>17</v>
      </c>
      <c r="C79">
        <v>3</v>
      </c>
      <c r="D79">
        <v>15.586999893188477</v>
      </c>
      <c r="E79">
        <v>3</v>
      </c>
      <c r="F79">
        <v>15.508999824523926</v>
      </c>
      <c r="G79">
        <v>3</v>
      </c>
      <c r="H79">
        <v>15.734000205993652</v>
      </c>
      <c r="I79">
        <v>3</v>
      </c>
      <c r="J79">
        <v>15.435000419616699</v>
      </c>
      <c r="K79">
        <v>3</v>
      </c>
      <c r="L79">
        <v>15.845000267028809</v>
      </c>
      <c r="M79">
        <v>3</v>
      </c>
      <c r="N79">
        <v>15.779000282287598</v>
      </c>
      <c r="O79">
        <v>3</v>
      </c>
      <c r="P79">
        <v>15.904000282287598</v>
      </c>
      <c r="Q79">
        <v>3</v>
      </c>
      <c r="R79">
        <v>16.118999481201172</v>
      </c>
      <c r="S79">
        <v>3</v>
      </c>
      <c r="T79">
        <v>16.052999496459961</v>
      </c>
      <c r="U79">
        <v>3</v>
      </c>
      <c r="V79">
        <v>15.645999908447266</v>
      </c>
      <c r="W79">
        <v>3</v>
      </c>
      <c r="X79">
        <v>15.751999855041504</v>
      </c>
      <c r="Y79">
        <v>3</v>
      </c>
      <c r="Z79">
        <v>15.392000198364258</v>
      </c>
      <c r="AA79">
        <v>3</v>
      </c>
      <c r="AB79">
        <v>15.824000358581543</v>
      </c>
      <c r="AC79">
        <v>3</v>
      </c>
      <c r="AD79">
        <v>16.180000305175781</v>
      </c>
      <c r="AE79">
        <v>3</v>
      </c>
      <c r="AF79">
        <v>16.141000747680664</v>
      </c>
      <c r="AG79">
        <v>3</v>
      </c>
      <c r="AH79">
        <v>15.76200008392334</v>
      </c>
      <c r="AI79">
        <v>3</v>
      </c>
      <c r="AJ79">
        <v>15.173999786376953</v>
      </c>
      <c r="AK79">
        <v>3</v>
      </c>
      <c r="AL79">
        <v>15.470999717712402</v>
      </c>
      <c r="AM79">
        <v>3</v>
      </c>
      <c r="AN79">
        <v>15.706000328063965</v>
      </c>
      <c r="AO79">
        <v>3</v>
      </c>
      <c r="AP79">
        <v>15.269000053405762</v>
      </c>
    </row>
    <row r="80" spans="2:42" x14ac:dyDescent="0.2">
      <c r="B80" t="s">
        <v>211</v>
      </c>
      <c r="C80">
        <v>403</v>
      </c>
      <c r="D80">
        <v>2.4879999160766602</v>
      </c>
      <c r="E80">
        <v>403</v>
      </c>
      <c r="F80">
        <v>2.4790000915527344</v>
      </c>
      <c r="G80">
        <v>403</v>
      </c>
      <c r="H80">
        <v>2.4460000991821289</v>
      </c>
      <c r="I80">
        <v>403</v>
      </c>
      <c r="J80">
        <v>2.4489998817443848</v>
      </c>
      <c r="K80">
        <v>403</v>
      </c>
      <c r="L80">
        <v>2.4479999542236328</v>
      </c>
      <c r="M80">
        <v>403</v>
      </c>
      <c r="N80">
        <v>2.4769999980926514</v>
      </c>
      <c r="O80">
        <v>403</v>
      </c>
      <c r="P80">
        <v>2.4790000915527344</v>
      </c>
      <c r="Q80">
        <v>403</v>
      </c>
      <c r="R80">
        <v>2.4839999675750732</v>
      </c>
      <c r="S80">
        <v>403</v>
      </c>
      <c r="T80">
        <v>2.5499999523162842</v>
      </c>
      <c r="U80">
        <v>403</v>
      </c>
      <c r="V80">
        <v>2.5360000133514404</v>
      </c>
      <c r="W80">
        <v>403</v>
      </c>
      <c r="X80">
        <v>2.4700000286102295</v>
      </c>
      <c r="Y80">
        <v>403</v>
      </c>
      <c r="Z80">
        <v>2.5580000877380371</v>
      </c>
      <c r="AA80">
        <v>403</v>
      </c>
      <c r="AB80">
        <v>2.5320000648498535</v>
      </c>
      <c r="AC80">
        <v>403</v>
      </c>
      <c r="AD80">
        <v>2.4739999771118164</v>
      </c>
      <c r="AE80">
        <v>403</v>
      </c>
      <c r="AF80">
        <v>2.503000020980835</v>
      </c>
      <c r="AG80">
        <v>403</v>
      </c>
      <c r="AH80">
        <v>2.5580000877380371</v>
      </c>
      <c r="AI80">
        <v>403</v>
      </c>
      <c r="AJ80">
        <v>2.5920000076293945</v>
      </c>
      <c r="AK80">
        <v>403</v>
      </c>
      <c r="AL80">
        <v>2.5120000839233398</v>
      </c>
      <c r="AM80">
        <v>403</v>
      </c>
      <c r="AN80">
        <v>2.5250000953674316</v>
      </c>
      <c r="AO80">
        <v>403</v>
      </c>
      <c r="AP80">
        <v>2.5369999408721924</v>
      </c>
    </row>
    <row r="81" spans="2:42" x14ac:dyDescent="0.2">
      <c r="B81" t="s">
        <v>212</v>
      </c>
      <c r="C81">
        <v>235</v>
      </c>
      <c r="D81">
        <v>16.988000869750977</v>
      </c>
      <c r="E81">
        <v>237</v>
      </c>
      <c r="F81">
        <v>8.130000114440918</v>
      </c>
      <c r="G81">
        <v>238</v>
      </c>
      <c r="H81">
        <v>8.3100004196166992</v>
      </c>
      <c r="I81">
        <v>238</v>
      </c>
      <c r="J81">
        <v>12.366000175476074</v>
      </c>
      <c r="K81">
        <v>237</v>
      </c>
      <c r="L81">
        <v>8.6660003662109375</v>
      </c>
      <c r="M81">
        <v>238</v>
      </c>
      <c r="N81">
        <v>12.116999626159668</v>
      </c>
      <c r="O81">
        <v>238</v>
      </c>
      <c r="P81">
        <v>8.689000129699707</v>
      </c>
      <c r="Q81">
        <v>236</v>
      </c>
      <c r="R81">
        <v>15.866999626159668</v>
      </c>
      <c r="S81">
        <v>236</v>
      </c>
      <c r="T81">
        <v>14.272000312805176</v>
      </c>
      <c r="U81">
        <v>238</v>
      </c>
      <c r="V81">
        <v>7.8449997901916504</v>
      </c>
      <c r="W81">
        <v>239</v>
      </c>
      <c r="X81">
        <v>7.6319999694824219</v>
      </c>
      <c r="Y81">
        <v>236</v>
      </c>
      <c r="Z81">
        <v>11.357000350952148</v>
      </c>
      <c r="AA81">
        <v>236</v>
      </c>
      <c r="AB81">
        <v>14.295000076293945</v>
      </c>
      <c r="AC81">
        <v>240</v>
      </c>
      <c r="AD81">
        <v>9.430999755859375</v>
      </c>
      <c r="AE81">
        <v>236</v>
      </c>
      <c r="AF81">
        <v>9.7089996337890625</v>
      </c>
      <c r="AG81">
        <v>238</v>
      </c>
      <c r="AH81">
        <v>7.3080000877380371</v>
      </c>
      <c r="AI81">
        <v>240</v>
      </c>
      <c r="AJ81">
        <v>7.054999828338623</v>
      </c>
      <c r="AK81">
        <v>237</v>
      </c>
      <c r="AL81">
        <v>8.7869997024536133</v>
      </c>
      <c r="AM81">
        <v>240</v>
      </c>
      <c r="AN81">
        <v>6.2379999160766602</v>
      </c>
      <c r="AO81">
        <v>240</v>
      </c>
      <c r="AP81">
        <v>11.152000427246094</v>
      </c>
    </row>
    <row r="82" spans="2:42" x14ac:dyDescent="0.2">
      <c r="B82" t="s">
        <v>18</v>
      </c>
      <c r="C82">
        <v>59</v>
      </c>
      <c r="D82">
        <v>0.21799999475479126</v>
      </c>
      <c r="E82">
        <v>59</v>
      </c>
      <c r="F82">
        <v>0.2199999988079071</v>
      </c>
      <c r="G82">
        <v>59</v>
      </c>
      <c r="H82">
        <v>0.22300000488758087</v>
      </c>
      <c r="I82">
        <v>59</v>
      </c>
      <c r="J82">
        <v>0.22100000083446503</v>
      </c>
      <c r="K82">
        <v>59</v>
      </c>
      <c r="L82">
        <v>0.20900000631809235</v>
      </c>
      <c r="M82">
        <v>59</v>
      </c>
      <c r="N82">
        <v>0.21400000154972076</v>
      </c>
      <c r="O82">
        <v>59</v>
      </c>
      <c r="P82">
        <v>0.21299999952316284</v>
      </c>
      <c r="Q82">
        <v>59</v>
      </c>
      <c r="R82">
        <v>0.21199999749660492</v>
      </c>
      <c r="S82">
        <v>59</v>
      </c>
      <c r="T82">
        <v>0.21500000357627869</v>
      </c>
      <c r="U82">
        <v>59</v>
      </c>
      <c r="V82">
        <v>0.21299999952316284</v>
      </c>
      <c r="W82">
        <v>59</v>
      </c>
      <c r="X82">
        <v>0.21199999749660492</v>
      </c>
      <c r="Y82">
        <v>59</v>
      </c>
      <c r="Z82">
        <v>0.21699999272823334</v>
      </c>
      <c r="AA82">
        <v>59</v>
      </c>
      <c r="AB82">
        <v>0.21899999678134918</v>
      </c>
      <c r="AC82">
        <v>59</v>
      </c>
      <c r="AD82">
        <v>0.22300000488758087</v>
      </c>
      <c r="AE82">
        <v>59</v>
      </c>
      <c r="AF82">
        <v>0.22300000488758087</v>
      </c>
      <c r="AG82">
        <v>59</v>
      </c>
      <c r="AH82">
        <v>0.21899999678134918</v>
      </c>
      <c r="AI82">
        <v>59</v>
      </c>
      <c r="AJ82">
        <v>0.21400000154972076</v>
      </c>
      <c r="AK82">
        <v>59</v>
      </c>
      <c r="AL82">
        <v>0.21799999475479126</v>
      </c>
      <c r="AM82">
        <v>59</v>
      </c>
      <c r="AN82">
        <v>0.22300000488758087</v>
      </c>
      <c r="AO82">
        <v>59</v>
      </c>
      <c r="AP82">
        <v>0.20999999344348907</v>
      </c>
    </row>
    <row r="83" spans="2:42" x14ac:dyDescent="0.2">
      <c r="B83" t="s">
        <v>19</v>
      </c>
      <c r="C83">
        <v>324</v>
      </c>
      <c r="D83">
        <v>2.4639999866485596</v>
      </c>
      <c r="E83">
        <v>324</v>
      </c>
      <c r="F83">
        <v>2.0099999904632568</v>
      </c>
      <c r="G83">
        <v>341</v>
      </c>
      <c r="H83">
        <v>2.2709999084472656</v>
      </c>
      <c r="I83">
        <v>314</v>
      </c>
      <c r="J83">
        <v>4.4549999237060547</v>
      </c>
      <c r="K83">
        <v>312</v>
      </c>
      <c r="L83">
        <v>3.6770000457763672</v>
      </c>
      <c r="M83">
        <v>349</v>
      </c>
      <c r="N83">
        <v>1.2589999437332153</v>
      </c>
      <c r="O83">
        <v>312</v>
      </c>
      <c r="P83">
        <v>2.2360000610351562</v>
      </c>
      <c r="Q83">
        <v>321</v>
      </c>
      <c r="R83">
        <v>3.7239999771118164</v>
      </c>
      <c r="S83">
        <v>327</v>
      </c>
      <c r="T83">
        <v>2.0079998970031738</v>
      </c>
      <c r="U83">
        <v>315</v>
      </c>
      <c r="V83">
        <v>5.0570001602172852</v>
      </c>
      <c r="W83">
        <v>318</v>
      </c>
      <c r="X83">
        <v>2.5490000247955322</v>
      </c>
      <c r="Y83">
        <v>327</v>
      </c>
      <c r="Z83">
        <v>3.0360000133514404</v>
      </c>
      <c r="AA83">
        <v>318</v>
      </c>
      <c r="AB83">
        <v>3.0710000991821289</v>
      </c>
      <c r="AC83">
        <v>324</v>
      </c>
      <c r="AD83">
        <v>2.5</v>
      </c>
      <c r="AE83">
        <v>337</v>
      </c>
      <c r="AF83">
        <v>3.2569999694824219</v>
      </c>
      <c r="AG83">
        <v>333</v>
      </c>
      <c r="AH83">
        <v>3.128000020980835</v>
      </c>
      <c r="AI83">
        <v>327</v>
      </c>
      <c r="AJ83">
        <v>3.1099998950958252</v>
      </c>
      <c r="AK83">
        <v>320</v>
      </c>
      <c r="AL83">
        <v>2.5639998912811279</v>
      </c>
      <c r="AM83">
        <v>315</v>
      </c>
      <c r="AN83">
        <v>5.6880002021789551</v>
      </c>
      <c r="AO83">
        <v>320</v>
      </c>
      <c r="AP83">
        <v>4.2989997863769531</v>
      </c>
    </row>
    <row r="84" spans="2:42" x14ac:dyDescent="0.2">
      <c r="B84" t="s">
        <v>20</v>
      </c>
      <c r="C84">
        <v>526</v>
      </c>
      <c r="D84">
        <v>24.226999282836914</v>
      </c>
      <c r="E84">
        <v>554</v>
      </c>
      <c r="F84">
        <v>20.568000793457031</v>
      </c>
      <c r="G84">
        <v>511</v>
      </c>
      <c r="H84">
        <v>49.377998352050781</v>
      </c>
      <c r="I84">
        <v>499</v>
      </c>
      <c r="J84">
        <v>67.847000122070312</v>
      </c>
      <c r="K84">
        <v>518</v>
      </c>
      <c r="L84">
        <v>33.105998992919922</v>
      </c>
      <c r="M84">
        <v>520</v>
      </c>
      <c r="N84">
        <v>29.658000946044922</v>
      </c>
      <c r="O84">
        <v>507</v>
      </c>
      <c r="P84">
        <v>38.384998321533203</v>
      </c>
      <c r="Q84">
        <v>514</v>
      </c>
      <c r="R84">
        <v>36.634998321533203</v>
      </c>
      <c r="S84">
        <v>516</v>
      </c>
      <c r="T84">
        <v>61.435001373291016</v>
      </c>
      <c r="U84">
        <v>513</v>
      </c>
      <c r="V84">
        <v>40.930999755859375</v>
      </c>
      <c r="W84">
        <v>510</v>
      </c>
      <c r="X84">
        <v>38.632999420166016</v>
      </c>
      <c r="Y84">
        <v>525</v>
      </c>
      <c r="Z84">
        <v>59.0260009765625</v>
      </c>
      <c r="AA84">
        <v>516</v>
      </c>
      <c r="AB84">
        <v>41.028999328613281</v>
      </c>
      <c r="AC84">
        <v>507</v>
      </c>
      <c r="AD84">
        <v>50.616001129150391</v>
      </c>
      <c r="AE84">
        <v>542</v>
      </c>
      <c r="AF84">
        <v>42.882999420166016</v>
      </c>
      <c r="AG84">
        <v>515</v>
      </c>
      <c r="AH84">
        <v>29.106000900268555</v>
      </c>
      <c r="AI84">
        <v>515</v>
      </c>
      <c r="AJ84">
        <v>23.632999420166016</v>
      </c>
      <c r="AK84">
        <v>546</v>
      </c>
      <c r="AL84">
        <v>24.555999755859375</v>
      </c>
      <c r="AM84">
        <v>531</v>
      </c>
      <c r="AN84">
        <v>25.62299919128418</v>
      </c>
      <c r="AO84">
        <v>516</v>
      </c>
      <c r="AP84">
        <v>38.937999725341797</v>
      </c>
    </row>
    <row r="85" spans="2:42" x14ac:dyDescent="0.2">
      <c r="B85" t="s">
        <v>21</v>
      </c>
      <c r="C85">
        <v>102</v>
      </c>
      <c r="D85">
        <v>43.638999938964844</v>
      </c>
      <c r="E85">
        <v>100</v>
      </c>
      <c r="F85">
        <v>66.80999755859375</v>
      </c>
      <c r="G85">
        <v>104</v>
      </c>
      <c r="H85">
        <v>54.319000244140625</v>
      </c>
      <c r="I85">
        <v>104</v>
      </c>
      <c r="J85">
        <v>40.104000091552734</v>
      </c>
      <c r="K85">
        <v>102</v>
      </c>
      <c r="L85">
        <v>37.863998413085938</v>
      </c>
      <c r="M85">
        <v>112</v>
      </c>
      <c r="N85">
        <v>21.186000823974609</v>
      </c>
      <c r="O85">
        <v>108</v>
      </c>
      <c r="P85">
        <v>27.760000228881836</v>
      </c>
      <c r="Q85">
        <v>100</v>
      </c>
      <c r="R85">
        <v>66.579002380371094</v>
      </c>
      <c r="S85">
        <v>100</v>
      </c>
      <c r="T85">
        <v>26.006000518798828</v>
      </c>
      <c r="U85">
        <v>106</v>
      </c>
      <c r="V85">
        <v>25.792999267578125</v>
      </c>
      <c r="W85">
        <v>112</v>
      </c>
      <c r="X85">
        <v>20.392000198364258</v>
      </c>
      <c r="Y85">
        <v>106</v>
      </c>
      <c r="Z85">
        <v>40.298000335693359</v>
      </c>
      <c r="AA85">
        <v>108</v>
      </c>
      <c r="AB85">
        <v>29.902000427246094</v>
      </c>
      <c r="AC85">
        <v>108</v>
      </c>
      <c r="AD85">
        <v>41.647998809814453</v>
      </c>
      <c r="AE85">
        <v>104</v>
      </c>
      <c r="AF85">
        <v>21.773000717163086</v>
      </c>
      <c r="AG85">
        <v>110</v>
      </c>
      <c r="AH85">
        <v>21.496999740600586</v>
      </c>
      <c r="AI85">
        <v>106</v>
      </c>
      <c r="AJ85">
        <v>38.269001007080078</v>
      </c>
      <c r="AK85">
        <v>102</v>
      </c>
      <c r="AL85">
        <v>46.525001525878906</v>
      </c>
      <c r="AM85">
        <v>106</v>
      </c>
      <c r="AN85">
        <v>22.308000564575195</v>
      </c>
      <c r="AO85">
        <v>112</v>
      </c>
      <c r="AP85">
        <v>28.475000381469727</v>
      </c>
    </row>
    <row r="86" spans="2:42" x14ac:dyDescent="0.2">
      <c r="B86" t="s">
        <v>22</v>
      </c>
      <c r="C86">
        <v>19</v>
      </c>
      <c r="D86">
        <v>7.0000002160668373E-3</v>
      </c>
      <c r="E86">
        <v>19</v>
      </c>
      <c r="F86">
        <v>6.0000000521540642E-3</v>
      </c>
      <c r="G86">
        <v>19</v>
      </c>
      <c r="H86">
        <v>8.999999612569809E-3</v>
      </c>
      <c r="I86">
        <v>19</v>
      </c>
      <c r="J86">
        <v>8.999999612569809E-3</v>
      </c>
      <c r="K86">
        <v>19</v>
      </c>
      <c r="L86">
        <v>1.0999999940395355E-2</v>
      </c>
      <c r="M86">
        <v>19</v>
      </c>
      <c r="N86">
        <v>6.0000000521540642E-3</v>
      </c>
      <c r="O86">
        <v>19</v>
      </c>
      <c r="P86">
        <v>7.0000002160668373E-3</v>
      </c>
      <c r="Q86">
        <v>19</v>
      </c>
      <c r="R86">
        <v>6.0000000521540642E-3</v>
      </c>
      <c r="S86">
        <v>19</v>
      </c>
      <c r="T86">
        <v>9.9999997764825821E-3</v>
      </c>
      <c r="U86">
        <v>19</v>
      </c>
      <c r="V86">
        <v>6.0000000521540642E-3</v>
      </c>
      <c r="W86">
        <v>20</v>
      </c>
      <c r="X86">
        <v>8.0000003799796104E-3</v>
      </c>
      <c r="Y86">
        <v>19</v>
      </c>
      <c r="Z86">
        <v>9.9999997764825821E-3</v>
      </c>
      <c r="AA86">
        <v>19</v>
      </c>
      <c r="AB86">
        <v>6.0000000521540642E-3</v>
      </c>
      <c r="AC86">
        <v>19</v>
      </c>
      <c r="AD86">
        <v>7.0000002160668373E-3</v>
      </c>
      <c r="AE86">
        <v>19</v>
      </c>
      <c r="AF86">
        <v>7.0000002160668373E-3</v>
      </c>
      <c r="AG86">
        <v>19</v>
      </c>
      <c r="AH86">
        <v>8.999999612569809E-3</v>
      </c>
      <c r="AI86">
        <v>19</v>
      </c>
      <c r="AJ86">
        <v>8.999999612569809E-3</v>
      </c>
      <c r="AK86">
        <v>19</v>
      </c>
      <c r="AL86">
        <v>6.0000000521540642E-3</v>
      </c>
      <c r="AM86">
        <v>19</v>
      </c>
      <c r="AN86">
        <v>8.0000003799796104E-3</v>
      </c>
      <c r="AO86">
        <v>19</v>
      </c>
      <c r="AP86">
        <v>9.9999997764825821E-3</v>
      </c>
    </row>
    <row r="87" spans="2:42" x14ac:dyDescent="0.2">
      <c r="B87" t="s">
        <v>23</v>
      </c>
      <c r="C87">
        <v>39</v>
      </c>
      <c r="D87">
        <v>3.2620000839233398</v>
      </c>
      <c r="E87">
        <v>39</v>
      </c>
      <c r="F87">
        <v>3.1989998817443848</v>
      </c>
      <c r="G87">
        <v>39</v>
      </c>
      <c r="H87">
        <v>3.1059999465942383</v>
      </c>
      <c r="I87">
        <v>39</v>
      </c>
      <c r="J87">
        <v>3.0510001182556152</v>
      </c>
      <c r="K87">
        <v>39</v>
      </c>
      <c r="L87">
        <v>3.1180000305175781</v>
      </c>
      <c r="M87">
        <v>39</v>
      </c>
      <c r="N87">
        <v>3.0739998817443848</v>
      </c>
      <c r="O87">
        <v>39</v>
      </c>
      <c r="P87">
        <v>3.1019999980926514</v>
      </c>
      <c r="Q87">
        <v>39</v>
      </c>
      <c r="R87">
        <v>3.1410000324249268</v>
      </c>
      <c r="S87">
        <v>39</v>
      </c>
      <c r="T87">
        <v>3.1519999504089355</v>
      </c>
      <c r="U87">
        <v>39</v>
      </c>
      <c r="V87">
        <v>3.0529999732971191</v>
      </c>
      <c r="W87">
        <v>39</v>
      </c>
      <c r="X87">
        <v>3.1689999103546143</v>
      </c>
      <c r="Y87">
        <v>39</v>
      </c>
      <c r="Z87">
        <v>3.1610000133514404</v>
      </c>
      <c r="AA87">
        <v>39</v>
      </c>
      <c r="AB87">
        <v>3.2260000705718994</v>
      </c>
      <c r="AC87">
        <v>39</v>
      </c>
      <c r="AD87">
        <v>3.2709999084472656</v>
      </c>
      <c r="AE87">
        <v>39</v>
      </c>
      <c r="AF87">
        <v>3.2799999713897705</v>
      </c>
      <c r="AG87">
        <v>39</v>
      </c>
      <c r="AH87">
        <v>3.0940001010894775</v>
      </c>
      <c r="AI87">
        <v>39</v>
      </c>
      <c r="AJ87">
        <v>3.1989998817443848</v>
      </c>
      <c r="AK87">
        <v>39</v>
      </c>
      <c r="AL87">
        <v>3.0490000247955322</v>
      </c>
      <c r="AM87">
        <v>39</v>
      </c>
      <c r="AN87">
        <v>3.1979999542236328</v>
      </c>
      <c r="AO87">
        <v>39</v>
      </c>
      <c r="AP87">
        <v>3.1189999580383301</v>
      </c>
    </row>
    <row r="88" spans="2:42" x14ac:dyDescent="0.2">
      <c r="B88" t="s">
        <v>213</v>
      </c>
      <c r="C88">
        <v>25</v>
      </c>
      <c r="D88">
        <v>5.9999998658895493E-2</v>
      </c>
      <c r="E88">
        <v>26</v>
      </c>
      <c r="F88">
        <v>9.2000000178813934E-2</v>
      </c>
      <c r="G88">
        <v>25</v>
      </c>
      <c r="H88">
        <v>8.6000002920627594E-2</v>
      </c>
      <c r="I88">
        <v>25</v>
      </c>
      <c r="J88">
        <v>8.7999999523162842E-2</v>
      </c>
      <c r="K88">
        <v>25</v>
      </c>
      <c r="L88">
        <v>5.4999999701976776E-2</v>
      </c>
      <c r="M88">
        <v>26</v>
      </c>
      <c r="N88">
        <v>5.4999999701976776E-2</v>
      </c>
      <c r="O88">
        <v>25</v>
      </c>
      <c r="P88">
        <v>6.4999997615814209E-2</v>
      </c>
      <c r="Q88">
        <v>26</v>
      </c>
      <c r="R88">
        <v>6.1999998986721039E-2</v>
      </c>
      <c r="S88">
        <v>26</v>
      </c>
      <c r="T88">
        <v>6.5999999642372131E-2</v>
      </c>
      <c r="U88">
        <v>25</v>
      </c>
      <c r="V88">
        <v>5.7000000029802322E-2</v>
      </c>
      <c r="W88">
        <v>25</v>
      </c>
      <c r="X88">
        <v>5.7000000029802322E-2</v>
      </c>
      <c r="Y88">
        <v>26</v>
      </c>
      <c r="Z88">
        <v>5.299999937415123E-2</v>
      </c>
      <c r="AA88">
        <v>25</v>
      </c>
      <c r="AB88">
        <v>7.6999999582767487E-2</v>
      </c>
      <c r="AC88">
        <v>25</v>
      </c>
      <c r="AD88">
        <v>5.7000000029802322E-2</v>
      </c>
      <c r="AE88">
        <v>25</v>
      </c>
      <c r="AF88">
        <v>6.7000001668930054E-2</v>
      </c>
      <c r="AG88">
        <v>26</v>
      </c>
      <c r="AH88">
        <v>5.0999999046325684E-2</v>
      </c>
      <c r="AI88">
        <v>25</v>
      </c>
      <c r="AJ88">
        <v>8.2999996840953827E-2</v>
      </c>
      <c r="AK88">
        <v>26</v>
      </c>
      <c r="AL88">
        <v>5.2000001072883606E-2</v>
      </c>
      <c r="AM88">
        <v>26</v>
      </c>
      <c r="AN88">
        <v>5.000000074505806E-2</v>
      </c>
      <c r="AO88">
        <v>25</v>
      </c>
      <c r="AP88">
        <v>7.0000000298023224E-2</v>
      </c>
    </row>
    <row r="89" spans="2:42" x14ac:dyDescent="0.2">
      <c r="B89" t="s">
        <v>214</v>
      </c>
      <c r="C89">
        <v>71</v>
      </c>
      <c r="D89">
        <v>0.10100000351667404</v>
      </c>
      <c r="E89">
        <v>71</v>
      </c>
      <c r="F89">
        <v>0.10000000149011612</v>
      </c>
      <c r="G89">
        <v>71</v>
      </c>
      <c r="H89">
        <v>0.22499999403953552</v>
      </c>
      <c r="I89">
        <v>71</v>
      </c>
      <c r="J89">
        <v>0.11100000143051147</v>
      </c>
      <c r="K89">
        <v>71</v>
      </c>
      <c r="L89">
        <v>0.10899999737739563</v>
      </c>
      <c r="M89">
        <v>71</v>
      </c>
      <c r="N89">
        <v>0.12800000607967377</v>
      </c>
      <c r="O89">
        <v>71</v>
      </c>
      <c r="P89">
        <v>0.10199999809265137</v>
      </c>
      <c r="Q89">
        <v>70</v>
      </c>
      <c r="R89">
        <v>0.1120000034570694</v>
      </c>
      <c r="S89">
        <v>73</v>
      </c>
      <c r="T89">
        <v>0.11699999868869781</v>
      </c>
      <c r="U89">
        <v>71</v>
      </c>
      <c r="V89">
        <v>9.7000002861022949E-2</v>
      </c>
      <c r="W89">
        <v>71</v>
      </c>
      <c r="X89">
        <v>0.11699999868869781</v>
      </c>
      <c r="Y89">
        <v>71</v>
      </c>
      <c r="Z89">
        <v>0.12399999797344208</v>
      </c>
      <c r="AA89">
        <v>71</v>
      </c>
      <c r="AB89">
        <v>0.125</v>
      </c>
      <c r="AC89">
        <v>71</v>
      </c>
      <c r="AD89">
        <v>0.10300000011920929</v>
      </c>
      <c r="AE89">
        <v>71</v>
      </c>
      <c r="AF89">
        <v>0.10300000011920929</v>
      </c>
      <c r="AG89">
        <v>71</v>
      </c>
      <c r="AH89">
        <v>0.10899999737739563</v>
      </c>
      <c r="AI89">
        <v>71</v>
      </c>
      <c r="AJ89">
        <v>0.15700000524520874</v>
      </c>
      <c r="AK89">
        <v>71</v>
      </c>
      <c r="AL89">
        <v>0.12800000607967377</v>
      </c>
      <c r="AM89">
        <v>73</v>
      </c>
      <c r="AN89">
        <v>7.5999997556209564E-2</v>
      </c>
      <c r="AO89">
        <v>73</v>
      </c>
      <c r="AP89">
        <v>8.2999996840953827E-2</v>
      </c>
    </row>
    <row r="90" spans="2:42" x14ac:dyDescent="0.2">
      <c r="B90" t="s">
        <v>24</v>
      </c>
      <c r="C90">
        <v>192</v>
      </c>
      <c r="D90">
        <v>1.5080000162124634</v>
      </c>
      <c r="E90">
        <v>193</v>
      </c>
      <c r="F90">
        <v>1.715999960899353</v>
      </c>
      <c r="G90">
        <v>193</v>
      </c>
      <c r="H90">
        <v>1.0709999799728394</v>
      </c>
      <c r="I90">
        <v>193</v>
      </c>
      <c r="J90">
        <v>1.4900000095367432</v>
      </c>
      <c r="K90">
        <v>194</v>
      </c>
      <c r="L90">
        <v>1.9270000457763672</v>
      </c>
      <c r="M90">
        <v>193</v>
      </c>
      <c r="N90">
        <v>1.2020000219345093</v>
      </c>
      <c r="O90">
        <v>193</v>
      </c>
      <c r="P90">
        <v>1.6540000438690186</v>
      </c>
      <c r="Q90">
        <v>193</v>
      </c>
      <c r="R90">
        <v>2.2990000247955322</v>
      </c>
      <c r="S90">
        <v>193</v>
      </c>
      <c r="T90">
        <v>1.8860000371932983</v>
      </c>
      <c r="U90">
        <v>195</v>
      </c>
      <c r="V90">
        <v>0.96799999475479126</v>
      </c>
      <c r="W90">
        <v>193</v>
      </c>
      <c r="X90">
        <v>1.8350000381469727</v>
      </c>
      <c r="Y90">
        <v>193</v>
      </c>
      <c r="Z90">
        <v>1.1920000314712524</v>
      </c>
      <c r="AA90">
        <v>194</v>
      </c>
      <c r="AB90">
        <v>0.98299998044967651</v>
      </c>
      <c r="AC90">
        <v>195</v>
      </c>
      <c r="AD90">
        <v>1.0609999895095825</v>
      </c>
      <c r="AE90">
        <v>191</v>
      </c>
      <c r="AF90">
        <v>1.1940000057220459</v>
      </c>
      <c r="AG90">
        <v>194</v>
      </c>
      <c r="AH90">
        <v>1.0700000524520874</v>
      </c>
      <c r="AI90">
        <v>193</v>
      </c>
      <c r="AJ90">
        <v>1.156999945640564</v>
      </c>
      <c r="AK90">
        <v>195</v>
      </c>
      <c r="AL90">
        <v>1.0240000486373901</v>
      </c>
      <c r="AM90">
        <v>193</v>
      </c>
      <c r="AN90">
        <v>1.3839999437332153</v>
      </c>
      <c r="AO90">
        <v>195</v>
      </c>
      <c r="AP90">
        <v>1.1649999618530273</v>
      </c>
    </row>
    <row r="91" spans="2:42" x14ac:dyDescent="0.2">
      <c r="B91" t="s">
        <v>215</v>
      </c>
      <c r="C91">
        <v>483</v>
      </c>
      <c r="D91">
        <v>3.2739999294281006</v>
      </c>
      <c r="E91">
        <v>483</v>
      </c>
      <c r="F91">
        <v>3.8970000743865967</v>
      </c>
      <c r="G91">
        <v>492</v>
      </c>
      <c r="H91">
        <v>1.7330000400543213</v>
      </c>
      <c r="I91">
        <v>484</v>
      </c>
      <c r="J91">
        <v>1.9509999752044678</v>
      </c>
      <c r="K91">
        <v>479</v>
      </c>
      <c r="L91">
        <v>3.6949999332427979</v>
      </c>
      <c r="M91">
        <v>480</v>
      </c>
      <c r="N91">
        <v>4.1570000648498535</v>
      </c>
      <c r="O91">
        <v>480</v>
      </c>
      <c r="P91">
        <v>4.690000057220459</v>
      </c>
      <c r="Q91">
        <v>487</v>
      </c>
      <c r="R91">
        <v>2.0550000667572021</v>
      </c>
      <c r="S91">
        <v>484</v>
      </c>
      <c r="T91">
        <v>2.2609999179840088</v>
      </c>
      <c r="U91">
        <v>484</v>
      </c>
      <c r="V91">
        <v>5.755000114440918</v>
      </c>
      <c r="W91">
        <v>479</v>
      </c>
      <c r="X91">
        <v>5.0929999351501465</v>
      </c>
      <c r="Y91">
        <v>478</v>
      </c>
      <c r="Z91">
        <v>3.0239999294281006</v>
      </c>
      <c r="AA91">
        <v>475</v>
      </c>
      <c r="AB91">
        <v>5.4019999504089355</v>
      </c>
      <c r="AC91">
        <v>484</v>
      </c>
      <c r="AD91">
        <v>4.6750001907348633</v>
      </c>
      <c r="AE91">
        <v>483</v>
      </c>
      <c r="AF91">
        <v>5.2810001373291016</v>
      </c>
      <c r="AG91">
        <v>482</v>
      </c>
      <c r="AH91">
        <v>3.1940000057220459</v>
      </c>
      <c r="AI91">
        <v>482</v>
      </c>
      <c r="AJ91">
        <v>5.0590000152587891</v>
      </c>
      <c r="AK91">
        <v>483</v>
      </c>
      <c r="AL91">
        <v>2.7579998970031738</v>
      </c>
      <c r="AM91">
        <v>482</v>
      </c>
      <c r="AN91">
        <v>2.6129999160766602</v>
      </c>
      <c r="AO91">
        <v>482</v>
      </c>
      <c r="AP91">
        <v>3.5710000991821289</v>
      </c>
    </row>
    <row r="92" spans="2:42" x14ac:dyDescent="0.2">
      <c r="B92" t="s">
        <v>25</v>
      </c>
      <c r="C92">
        <v>506</v>
      </c>
      <c r="D92">
        <v>4.8850002288818359</v>
      </c>
      <c r="E92">
        <v>510</v>
      </c>
      <c r="F92">
        <v>4.5199999809265137</v>
      </c>
      <c r="G92">
        <v>512</v>
      </c>
      <c r="H92">
        <v>2.4049999713897705</v>
      </c>
      <c r="I92">
        <v>518</v>
      </c>
      <c r="J92">
        <v>3.6370000839233398</v>
      </c>
      <c r="K92">
        <v>494</v>
      </c>
      <c r="L92">
        <v>5.190000057220459</v>
      </c>
      <c r="M92">
        <v>512</v>
      </c>
      <c r="N92">
        <v>3.9470000267028809</v>
      </c>
      <c r="O92">
        <v>520</v>
      </c>
      <c r="P92">
        <v>2.5150001049041748</v>
      </c>
      <c r="Q92">
        <v>506</v>
      </c>
      <c r="R92">
        <v>4.9460000991821289</v>
      </c>
      <c r="S92">
        <v>502</v>
      </c>
      <c r="T92">
        <v>9.7309999465942383</v>
      </c>
      <c r="U92">
        <v>508</v>
      </c>
      <c r="V92">
        <v>3.6940000057220459</v>
      </c>
      <c r="W92">
        <v>511</v>
      </c>
      <c r="X92">
        <v>3.3080000877380371</v>
      </c>
      <c r="Y92">
        <v>514</v>
      </c>
      <c r="Z92">
        <v>2.9219999313354492</v>
      </c>
      <c r="AA92">
        <v>514</v>
      </c>
      <c r="AB92">
        <v>1.9479999542236328</v>
      </c>
      <c r="AC92">
        <v>514</v>
      </c>
      <c r="AD92">
        <v>4.1020002365112305</v>
      </c>
      <c r="AE92">
        <v>496</v>
      </c>
      <c r="AF92">
        <v>6.624000072479248</v>
      </c>
      <c r="AG92">
        <v>515</v>
      </c>
      <c r="AH92">
        <v>3.5339999198913574</v>
      </c>
      <c r="AI92">
        <v>507</v>
      </c>
      <c r="AJ92">
        <v>4.0949997901916504</v>
      </c>
      <c r="AK92">
        <v>500</v>
      </c>
      <c r="AL92">
        <v>4.1519999504089355</v>
      </c>
      <c r="AM92">
        <v>495</v>
      </c>
      <c r="AN92">
        <v>6.8769998550415039</v>
      </c>
      <c r="AO92">
        <v>521</v>
      </c>
      <c r="AP92">
        <v>2.5269999504089355</v>
      </c>
    </row>
    <row r="93" spans="2:42" x14ac:dyDescent="0.2">
      <c r="B93" t="s">
        <v>216</v>
      </c>
      <c r="C93">
        <v>3</v>
      </c>
      <c r="D93">
        <v>2.0000000949949026E-3</v>
      </c>
      <c r="E93">
        <v>3</v>
      </c>
      <c r="F93">
        <v>2.0000000949949026E-3</v>
      </c>
      <c r="G93">
        <v>3</v>
      </c>
      <c r="H93">
        <v>2.0000000949949026E-3</v>
      </c>
      <c r="I93">
        <v>3</v>
      </c>
      <c r="J93">
        <v>2.0000000949949026E-3</v>
      </c>
      <c r="K93">
        <v>3</v>
      </c>
      <c r="L93">
        <v>3.0000000260770321E-3</v>
      </c>
      <c r="M93">
        <v>3</v>
      </c>
      <c r="N93">
        <v>2.0000000949949026E-3</v>
      </c>
      <c r="O93">
        <v>3</v>
      </c>
      <c r="P93">
        <v>2.0000000949949026E-3</v>
      </c>
      <c r="Q93">
        <v>3</v>
      </c>
      <c r="R93">
        <v>2.0000000949949026E-3</v>
      </c>
      <c r="S93">
        <v>3</v>
      </c>
      <c r="T93">
        <v>2.0000000949949026E-3</v>
      </c>
      <c r="U93">
        <v>3</v>
      </c>
      <c r="V93">
        <v>2.0000000949949026E-3</v>
      </c>
      <c r="W93">
        <v>3</v>
      </c>
      <c r="X93">
        <v>2.0000000949949026E-3</v>
      </c>
      <c r="Y93">
        <v>3</v>
      </c>
      <c r="Z93">
        <v>3.0000000260770321E-3</v>
      </c>
      <c r="AA93">
        <v>3</v>
      </c>
      <c r="AB93">
        <v>2.0000000949949026E-3</v>
      </c>
      <c r="AC93">
        <v>3</v>
      </c>
      <c r="AD93">
        <v>2.0000000949949026E-3</v>
      </c>
      <c r="AE93">
        <v>3</v>
      </c>
      <c r="AF93">
        <v>2.0000000949949026E-3</v>
      </c>
      <c r="AG93">
        <v>3</v>
      </c>
      <c r="AH93">
        <v>2.0000000949949026E-3</v>
      </c>
      <c r="AI93">
        <v>3</v>
      </c>
      <c r="AJ93">
        <v>2.0000000949949026E-3</v>
      </c>
      <c r="AK93">
        <v>3</v>
      </c>
      <c r="AL93">
        <v>3.0000000260770321E-3</v>
      </c>
      <c r="AM93">
        <v>3</v>
      </c>
      <c r="AN93">
        <v>2.0000000949949026E-3</v>
      </c>
      <c r="AO93">
        <v>3</v>
      </c>
      <c r="AP93">
        <v>2.0000000949949026E-3</v>
      </c>
    </row>
    <row r="94" spans="2:42" x14ac:dyDescent="0.2">
      <c r="B94" t="s">
        <v>217</v>
      </c>
      <c r="C94">
        <v>3</v>
      </c>
      <c r="D94">
        <v>4.999999888241291E-3</v>
      </c>
      <c r="E94">
        <v>3</v>
      </c>
      <c r="F94">
        <v>4.999999888241291E-3</v>
      </c>
      <c r="G94">
        <v>3</v>
      </c>
      <c r="H94">
        <v>4.999999888241291E-3</v>
      </c>
      <c r="I94">
        <v>3</v>
      </c>
      <c r="J94">
        <v>4.999999888241291E-3</v>
      </c>
      <c r="K94">
        <v>3</v>
      </c>
      <c r="L94">
        <v>4.999999888241291E-3</v>
      </c>
      <c r="M94">
        <v>3</v>
      </c>
      <c r="N94">
        <v>6.0000000521540642E-3</v>
      </c>
      <c r="O94">
        <v>3</v>
      </c>
      <c r="P94">
        <v>6.0000000521540642E-3</v>
      </c>
      <c r="Q94">
        <v>3</v>
      </c>
      <c r="R94">
        <v>4.999999888241291E-3</v>
      </c>
      <c r="S94">
        <v>3</v>
      </c>
      <c r="T94">
        <v>7.0000002160668373E-3</v>
      </c>
      <c r="U94">
        <v>3</v>
      </c>
      <c r="V94">
        <v>4.999999888241291E-3</v>
      </c>
      <c r="W94">
        <v>3</v>
      </c>
      <c r="X94">
        <v>6.0000000521540642E-3</v>
      </c>
      <c r="Y94">
        <v>3</v>
      </c>
      <c r="Z94">
        <v>6.0000000521540642E-3</v>
      </c>
      <c r="AA94">
        <v>3</v>
      </c>
      <c r="AB94">
        <v>6.0000000521540642E-3</v>
      </c>
      <c r="AC94">
        <v>3</v>
      </c>
      <c r="AD94">
        <v>7.0000002160668373E-3</v>
      </c>
      <c r="AE94">
        <v>3</v>
      </c>
      <c r="AF94">
        <v>6.0000000521540642E-3</v>
      </c>
      <c r="AG94">
        <v>3</v>
      </c>
      <c r="AH94">
        <v>6.0000000521540642E-3</v>
      </c>
      <c r="AI94">
        <v>3</v>
      </c>
      <c r="AJ94">
        <v>6.0000000521540642E-3</v>
      </c>
      <c r="AK94">
        <v>3</v>
      </c>
      <c r="AL94">
        <v>6.0000000521540642E-3</v>
      </c>
      <c r="AM94">
        <v>3</v>
      </c>
      <c r="AN94">
        <v>6.0000000521540642E-3</v>
      </c>
      <c r="AO94">
        <v>3</v>
      </c>
      <c r="AP94">
        <v>7.0000002160668373E-3</v>
      </c>
    </row>
    <row r="95" spans="2:42" x14ac:dyDescent="0.2">
      <c r="B95" t="s">
        <v>26</v>
      </c>
      <c r="C95">
        <v>94</v>
      </c>
      <c r="D95">
        <v>0.12099999934434891</v>
      </c>
      <c r="E95">
        <v>94</v>
      </c>
      <c r="F95">
        <v>0.11999999731779099</v>
      </c>
      <c r="G95">
        <v>94</v>
      </c>
      <c r="H95">
        <v>0.13400000333786011</v>
      </c>
      <c r="I95">
        <v>94</v>
      </c>
      <c r="J95">
        <v>0.13400000333786011</v>
      </c>
      <c r="K95">
        <v>94</v>
      </c>
      <c r="L95">
        <v>0.13500000536441803</v>
      </c>
      <c r="M95">
        <v>94</v>
      </c>
      <c r="N95">
        <v>0.1289999932050705</v>
      </c>
      <c r="O95">
        <v>94</v>
      </c>
      <c r="P95">
        <v>0.13199999928474426</v>
      </c>
      <c r="Q95">
        <v>94</v>
      </c>
      <c r="R95">
        <v>0.13099999725818634</v>
      </c>
      <c r="S95">
        <v>94</v>
      </c>
      <c r="T95">
        <v>0.12300000339746475</v>
      </c>
      <c r="U95">
        <v>94</v>
      </c>
      <c r="V95">
        <v>0.13300000131130219</v>
      </c>
      <c r="W95">
        <v>94</v>
      </c>
      <c r="X95">
        <v>0.12999999523162842</v>
      </c>
      <c r="Y95">
        <v>94</v>
      </c>
      <c r="Z95">
        <v>0.12700000405311584</v>
      </c>
      <c r="AA95">
        <v>94</v>
      </c>
      <c r="AB95">
        <v>0.12800000607967377</v>
      </c>
      <c r="AC95">
        <v>94</v>
      </c>
      <c r="AD95">
        <v>0.1289999932050705</v>
      </c>
      <c r="AE95">
        <v>94</v>
      </c>
      <c r="AF95">
        <v>0.12700000405311584</v>
      </c>
      <c r="AG95">
        <v>94</v>
      </c>
      <c r="AH95">
        <v>0.13600000739097595</v>
      </c>
      <c r="AI95">
        <v>94</v>
      </c>
      <c r="AJ95">
        <v>0.1289999932050705</v>
      </c>
      <c r="AK95">
        <v>94</v>
      </c>
      <c r="AL95">
        <v>0.13699999451637268</v>
      </c>
      <c r="AM95">
        <v>94</v>
      </c>
      <c r="AN95">
        <v>0.125</v>
      </c>
      <c r="AO95">
        <v>94</v>
      </c>
      <c r="AP95">
        <v>0.13199999928474426</v>
      </c>
    </row>
    <row r="96" spans="2:42" x14ac:dyDescent="0.2">
      <c r="B96" t="s">
        <v>218</v>
      </c>
      <c r="C96">
        <v>94</v>
      </c>
      <c r="D96">
        <v>0.11900000274181366</v>
      </c>
      <c r="E96">
        <v>94</v>
      </c>
      <c r="F96">
        <v>0.11999999731779099</v>
      </c>
      <c r="G96">
        <v>94</v>
      </c>
      <c r="H96">
        <v>0.125</v>
      </c>
      <c r="I96">
        <v>94</v>
      </c>
      <c r="J96">
        <v>0.10899999737739563</v>
      </c>
      <c r="K96">
        <v>94</v>
      </c>
      <c r="L96">
        <v>0.12700000405311584</v>
      </c>
      <c r="M96">
        <v>94</v>
      </c>
      <c r="N96">
        <v>0.11800000071525574</v>
      </c>
      <c r="O96">
        <v>94</v>
      </c>
      <c r="P96">
        <v>0.125</v>
      </c>
      <c r="Q96">
        <v>94</v>
      </c>
      <c r="R96">
        <v>0.12099999934434891</v>
      </c>
      <c r="S96">
        <v>94</v>
      </c>
      <c r="T96">
        <v>0.12300000339746475</v>
      </c>
      <c r="U96">
        <v>94</v>
      </c>
      <c r="V96">
        <v>0.11800000071525574</v>
      </c>
      <c r="W96">
        <v>94</v>
      </c>
      <c r="X96">
        <v>0.12700000405311584</v>
      </c>
      <c r="Y96">
        <v>94</v>
      </c>
      <c r="Z96">
        <v>0.12200000137090683</v>
      </c>
      <c r="AA96">
        <v>94</v>
      </c>
      <c r="AB96">
        <v>0.12300000339746475</v>
      </c>
      <c r="AC96">
        <v>94</v>
      </c>
      <c r="AD96">
        <v>0.12600000202655792</v>
      </c>
      <c r="AE96">
        <v>94</v>
      </c>
      <c r="AF96">
        <v>0.12200000137090683</v>
      </c>
      <c r="AG96">
        <v>94</v>
      </c>
      <c r="AH96">
        <v>0.12200000137090683</v>
      </c>
      <c r="AI96">
        <v>94</v>
      </c>
      <c r="AJ96">
        <v>0.11500000208616257</v>
      </c>
      <c r="AK96">
        <v>94</v>
      </c>
      <c r="AL96">
        <v>0.12399999797344208</v>
      </c>
      <c r="AM96">
        <v>94</v>
      </c>
      <c r="AN96">
        <v>0.12200000137090683</v>
      </c>
      <c r="AO96">
        <v>94</v>
      </c>
      <c r="AP96">
        <v>0.125</v>
      </c>
    </row>
    <row r="97" spans="2:42" x14ac:dyDescent="0.2">
      <c r="B97" t="s">
        <v>219</v>
      </c>
      <c r="C97">
        <v>64</v>
      </c>
      <c r="D97">
        <v>0.37900000810623169</v>
      </c>
      <c r="E97">
        <v>67</v>
      </c>
      <c r="F97">
        <v>0.22100000083446503</v>
      </c>
      <c r="G97">
        <v>62</v>
      </c>
      <c r="H97">
        <v>0.35499998927116394</v>
      </c>
      <c r="I97">
        <v>65</v>
      </c>
      <c r="J97">
        <v>0.67000001668930054</v>
      </c>
      <c r="K97">
        <v>64</v>
      </c>
      <c r="L97">
        <v>0.27099999785423279</v>
      </c>
      <c r="M97">
        <v>64</v>
      </c>
      <c r="N97">
        <v>0.25999999046325684</v>
      </c>
      <c r="O97">
        <v>65</v>
      </c>
      <c r="P97">
        <v>0.20600000023841858</v>
      </c>
      <c r="Q97">
        <v>66</v>
      </c>
      <c r="R97">
        <v>0.28799998760223389</v>
      </c>
      <c r="S97">
        <v>67</v>
      </c>
      <c r="T97">
        <v>0.17299999296665192</v>
      </c>
      <c r="U97">
        <v>64</v>
      </c>
      <c r="V97">
        <v>0.41699999570846558</v>
      </c>
      <c r="W97">
        <v>64</v>
      </c>
      <c r="X97">
        <v>0.20800000429153442</v>
      </c>
      <c r="Y97">
        <v>65</v>
      </c>
      <c r="Z97">
        <v>0.15700000524520874</v>
      </c>
      <c r="AA97">
        <v>64</v>
      </c>
      <c r="AB97">
        <v>0.30099999904632568</v>
      </c>
      <c r="AC97">
        <v>64</v>
      </c>
      <c r="AD97">
        <v>0.29699999094009399</v>
      </c>
      <c r="AE97">
        <v>65</v>
      </c>
      <c r="AF97">
        <v>0.24400000274181366</v>
      </c>
      <c r="AG97">
        <v>65</v>
      </c>
      <c r="AH97">
        <v>0.21299999952316284</v>
      </c>
      <c r="AI97">
        <v>65</v>
      </c>
      <c r="AJ97">
        <v>0.23600000143051147</v>
      </c>
      <c r="AK97">
        <v>65</v>
      </c>
      <c r="AL97">
        <v>0.29300001263618469</v>
      </c>
      <c r="AM97">
        <v>64</v>
      </c>
      <c r="AN97">
        <v>0.23000000417232513</v>
      </c>
      <c r="AO97">
        <v>65</v>
      </c>
      <c r="AP97">
        <v>0.47699999809265137</v>
      </c>
    </row>
    <row r="98" spans="2:42" x14ac:dyDescent="0.2">
      <c r="B98" t="s">
        <v>27</v>
      </c>
      <c r="C98">
        <v>135</v>
      </c>
      <c r="D98">
        <v>0.25999999046325684</v>
      </c>
      <c r="E98">
        <v>136</v>
      </c>
      <c r="F98">
        <v>0.32699999213218689</v>
      </c>
      <c r="G98">
        <v>137</v>
      </c>
      <c r="H98">
        <v>0.15700000524520874</v>
      </c>
      <c r="I98">
        <v>137</v>
      </c>
      <c r="J98">
        <v>0.18000000715255737</v>
      </c>
      <c r="K98">
        <v>136</v>
      </c>
      <c r="L98">
        <v>0.1679999977350235</v>
      </c>
      <c r="M98">
        <v>137</v>
      </c>
      <c r="N98">
        <v>0.25600001215934753</v>
      </c>
      <c r="O98">
        <v>139</v>
      </c>
      <c r="P98">
        <v>0.20100000500679016</v>
      </c>
      <c r="Q98">
        <v>136</v>
      </c>
      <c r="R98">
        <v>0.22499999403953552</v>
      </c>
      <c r="S98">
        <v>137</v>
      </c>
      <c r="T98">
        <v>0.24500000476837158</v>
      </c>
      <c r="U98">
        <v>137</v>
      </c>
      <c r="V98">
        <v>0.42399999499320984</v>
      </c>
      <c r="W98">
        <v>136</v>
      </c>
      <c r="X98">
        <v>0.44600000977516174</v>
      </c>
      <c r="Y98">
        <v>139</v>
      </c>
      <c r="Z98">
        <v>0.24500000476837158</v>
      </c>
      <c r="AA98">
        <v>137</v>
      </c>
      <c r="AB98">
        <v>0.20100000500679016</v>
      </c>
      <c r="AC98">
        <v>137</v>
      </c>
      <c r="AD98">
        <v>0.18000000715255737</v>
      </c>
      <c r="AE98">
        <v>133</v>
      </c>
      <c r="AF98">
        <v>0.30199998617172241</v>
      </c>
      <c r="AG98">
        <v>137</v>
      </c>
      <c r="AH98">
        <v>0.16500000655651093</v>
      </c>
      <c r="AI98">
        <v>139</v>
      </c>
      <c r="AJ98">
        <v>0.18600000441074371</v>
      </c>
      <c r="AK98">
        <v>136</v>
      </c>
      <c r="AL98">
        <v>0.26499998569488525</v>
      </c>
      <c r="AM98">
        <v>139</v>
      </c>
      <c r="AN98">
        <v>0.26499998569488525</v>
      </c>
      <c r="AO98">
        <v>137</v>
      </c>
      <c r="AP98">
        <v>0.34999999403953552</v>
      </c>
    </row>
    <row r="99" spans="2:42" x14ac:dyDescent="0.2">
      <c r="B99" t="s">
        <v>221</v>
      </c>
      <c r="C99">
        <v>205</v>
      </c>
      <c r="D99">
        <v>0.55900001525878906</v>
      </c>
      <c r="E99">
        <v>204</v>
      </c>
      <c r="F99">
        <v>0.74500000476837158</v>
      </c>
      <c r="G99">
        <v>205</v>
      </c>
      <c r="H99">
        <v>0.77700001001358032</v>
      </c>
      <c r="I99">
        <v>207</v>
      </c>
      <c r="J99">
        <v>0.82899999618530273</v>
      </c>
      <c r="K99">
        <v>204</v>
      </c>
      <c r="L99">
        <v>0.45399999618530273</v>
      </c>
      <c r="M99">
        <v>205</v>
      </c>
      <c r="N99">
        <v>0.43399998545646667</v>
      </c>
      <c r="O99">
        <v>205</v>
      </c>
      <c r="P99">
        <v>1.2130000591278076</v>
      </c>
      <c r="Q99">
        <v>211</v>
      </c>
      <c r="R99">
        <v>0.37599998712539673</v>
      </c>
      <c r="S99">
        <v>204</v>
      </c>
      <c r="T99">
        <v>0.67000001668930054</v>
      </c>
      <c r="U99">
        <v>205</v>
      </c>
      <c r="V99">
        <v>0.38899999856948853</v>
      </c>
      <c r="W99">
        <v>205</v>
      </c>
      <c r="X99">
        <v>0.92599999904632568</v>
      </c>
      <c r="Y99">
        <v>209</v>
      </c>
      <c r="Z99">
        <v>0.41899999976158142</v>
      </c>
      <c r="AA99">
        <v>203</v>
      </c>
      <c r="AB99">
        <v>0.3580000102519989</v>
      </c>
      <c r="AC99">
        <v>211</v>
      </c>
      <c r="AD99">
        <v>0.38499999046325684</v>
      </c>
      <c r="AE99">
        <v>208</v>
      </c>
      <c r="AF99">
        <v>0.64899998903274536</v>
      </c>
      <c r="AG99">
        <v>206</v>
      </c>
      <c r="AH99">
        <v>0.82999998331069946</v>
      </c>
      <c r="AI99">
        <v>212</v>
      </c>
      <c r="AJ99">
        <v>0.33199998736381531</v>
      </c>
      <c r="AK99">
        <v>205</v>
      </c>
      <c r="AL99">
        <v>0.54500001668930054</v>
      </c>
      <c r="AM99">
        <v>208</v>
      </c>
      <c r="AN99">
        <v>0.40700000524520874</v>
      </c>
      <c r="AO99">
        <v>206</v>
      </c>
      <c r="AP99">
        <v>0.57700002193450928</v>
      </c>
    </row>
    <row r="100" spans="2:42" x14ac:dyDescent="0.2">
      <c r="B100" t="s">
        <v>220</v>
      </c>
      <c r="C100">
        <v>506</v>
      </c>
      <c r="D100">
        <v>4.8850002288818359</v>
      </c>
      <c r="E100">
        <v>510</v>
      </c>
      <c r="F100">
        <v>4.5120000839233398</v>
      </c>
      <c r="G100">
        <v>512</v>
      </c>
      <c r="H100">
        <v>2.3789999485015869</v>
      </c>
      <c r="I100">
        <v>518</v>
      </c>
      <c r="J100">
        <v>3.625</v>
      </c>
      <c r="K100">
        <v>494</v>
      </c>
      <c r="L100">
        <v>5.1669998168945312</v>
      </c>
      <c r="M100">
        <v>512</v>
      </c>
      <c r="N100">
        <v>3.9440000057220459</v>
      </c>
      <c r="O100">
        <v>520</v>
      </c>
      <c r="P100">
        <v>2.499000072479248</v>
      </c>
      <c r="Q100">
        <v>506</v>
      </c>
      <c r="R100">
        <v>4.9000000953674316</v>
      </c>
      <c r="S100">
        <v>502</v>
      </c>
      <c r="T100">
        <v>9.7279996871948242</v>
      </c>
      <c r="U100">
        <v>508</v>
      </c>
      <c r="V100">
        <v>3.687999963760376</v>
      </c>
      <c r="W100">
        <v>511</v>
      </c>
      <c r="X100">
        <v>3.2939999103546143</v>
      </c>
      <c r="Y100">
        <v>514</v>
      </c>
      <c r="Z100">
        <v>2.9249999523162842</v>
      </c>
      <c r="AA100">
        <v>514</v>
      </c>
      <c r="AB100">
        <v>1.9459999799728394</v>
      </c>
      <c r="AC100">
        <v>514</v>
      </c>
      <c r="AD100">
        <v>4.0879998207092285</v>
      </c>
      <c r="AE100">
        <v>496</v>
      </c>
      <c r="AF100">
        <v>6.5910000801086426</v>
      </c>
      <c r="AG100">
        <v>515</v>
      </c>
      <c r="AH100">
        <v>3.5209999084472656</v>
      </c>
      <c r="AI100">
        <v>507</v>
      </c>
      <c r="AJ100">
        <v>4.0939998626708984</v>
      </c>
      <c r="AK100">
        <v>500</v>
      </c>
      <c r="AL100">
        <v>4.1659998893737793</v>
      </c>
      <c r="AM100">
        <v>495</v>
      </c>
      <c r="AN100">
        <v>6.8460001945495605</v>
      </c>
      <c r="AO100">
        <v>521</v>
      </c>
      <c r="AP100">
        <v>2.5209999084472656</v>
      </c>
    </row>
    <row r="101" spans="2:42" x14ac:dyDescent="0.2">
      <c r="B101" t="s">
        <v>222</v>
      </c>
      <c r="C101">
        <v>35</v>
      </c>
      <c r="D101">
        <v>0.87400001287460327</v>
      </c>
      <c r="E101">
        <v>35</v>
      </c>
      <c r="F101">
        <v>0.78700000047683716</v>
      </c>
      <c r="G101">
        <v>35</v>
      </c>
      <c r="H101">
        <v>0.8059999942779541</v>
      </c>
      <c r="I101">
        <v>35</v>
      </c>
      <c r="J101">
        <v>0.85600000619888306</v>
      </c>
      <c r="K101">
        <v>35</v>
      </c>
      <c r="L101">
        <v>1.093999981880188</v>
      </c>
      <c r="M101">
        <v>35</v>
      </c>
      <c r="N101">
        <v>0.86799997091293335</v>
      </c>
      <c r="O101">
        <v>35</v>
      </c>
      <c r="P101">
        <v>0.86500000953674316</v>
      </c>
      <c r="Q101">
        <v>35</v>
      </c>
      <c r="R101">
        <v>0.90700000524520874</v>
      </c>
      <c r="S101">
        <v>35</v>
      </c>
      <c r="T101">
        <v>0.99099999666213989</v>
      </c>
      <c r="U101">
        <v>35</v>
      </c>
      <c r="V101">
        <v>0.82899999618530273</v>
      </c>
      <c r="W101">
        <v>35</v>
      </c>
      <c r="X101">
        <v>0.86699998378753662</v>
      </c>
      <c r="Y101">
        <v>35</v>
      </c>
      <c r="Z101">
        <v>0.90299999713897705</v>
      </c>
      <c r="AA101">
        <v>35</v>
      </c>
      <c r="AB101">
        <v>0.92000001668930054</v>
      </c>
      <c r="AC101">
        <v>35</v>
      </c>
      <c r="AD101">
        <v>0.99800002574920654</v>
      </c>
      <c r="AE101">
        <v>35</v>
      </c>
      <c r="AF101">
        <v>0.82899999618530273</v>
      </c>
      <c r="AG101">
        <v>35</v>
      </c>
      <c r="AH101">
        <v>0.83399999141693115</v>
      </c>
      <c r="AI101">
        <v>35</v>
      </c>
      <c r="AJ101">
        <v>1.2970000505447388</v>
      </c>
      <c r="AK101">
        <v>36</v>
      </c>
      <c r="AL101">
        <v>0.69300001859664917</v>
      </c>
      <c r="AM101">
        <v>35</v>
      </c>
      <c r="AN101">
        <v>0.85000002384185791</v>
      </c>
      <c r="AO101">
        <v>35</v>
      </c>
      <c r="AP101">
        <v>0.79799997806549072</v>
      </c>
    </row>
    <row r="102" spans="2:42" x14ac:dyDescent="0.2">
      <c r="B102" t="s">
        <v>28</v>
      </c>
      <c r="C102">
        <v>35</v>
      </c>
      <c r="D102">
        <v>0.82099997997283936</v>
      </c>
      <c r="E102">
        <v>35</v>
      </c>
      <c r="F102">
        <v>0.81800001859664917</v>
      </c>
      <c r="G102">
        <v>35</v>
      </c>
      <c r="H102">
        <v>0.82200002670288086</v>
      </c>
      <c r="I102">
        <v>35</v>
      </c>
      <c r="J102">
        <v>0.86599999666213989</v>
      </c>
      <c r="K102">
        <v>35</v>
      </c>
      <c r="L102">
        <v>0.91100001335144043</v>
      </c>
      <c r="M102">
        <v>35</v>
      </c>
      <c r="N102">
        <v>0.85399997234344482</v>
      </c>
      <c r="O102">
        <v>35</v>
      </c>
      <c r="P102">
        <v>1.2170000076293945</v>
      </c>
      <c r="Q102">
        <v>35</v>
      </c>
      <c r="R102">
        <v>1.0360000133514404</v>
      </c>
      <c r="S102">
        <v>36</v>
      </c>
      <c r="T102">
        <v>0.75700002908706665</v>
      </c>
      <c r="U102">
        <v>35</v>
      </c>
      <c r="V102">
        <v>1.1269999742507935</v>
      </c>
      <c r="W102">
        <v>35</v>
      </c>
      <c r="X102">
        <v>0.96399998664855957</v>
      </c>
      <c r="Y102">
        <v>35</v>
      </c>
      <c r="Z102">
        <v>0.91900002956390381</v>
      </c>
      <c r="AA102">
        <v>35</v>
      </c>
      <c r="AB102">
        <v>0.83799999952316284</v>
      </c>
      <c r="AC102">
        <v>35</v>
      </c>
      <c r="AD102">
        <v>0.86599999666213989</v>
      </c>
      <c r="AE102">
        <v>35</v>
      </c>
      <c r="AF102">
        <v>0.81599998474121094</v>
      </c>
      <c r="AG102">
        <v>35</v>
      </c>
      <c r="AH102">
        <v>0.79900002479553223</v>
      </c>
      <c r="AI102">
        <v>35</v>
      </c>
      <c r="AJ102">
        <v>0.80400002002716064</v>
      </c>
      <c r="AK102">
        <v>35</v>
      </c>
      <c r="AL102">
        <v>1.0429999828338623</v>
      </c>
      <c r="AM102">
        <v>35</v>
      </c>
      <c r="AN102">
        <v>1.3660000562667847</v>
      </c>
      <c r="AO102">
        <v>35</v>
      </c>
      <c r="AP102">
        <v>0.84299999475479126</v>
      </c>
    </row>
    <row r="103" spans="2:42" x14ac:dyDescent="0.2">
      <c r="B103" t="s">
        <v>223</v>
      </c>
      <c r="C103">
        <v>190</v>
      </c>
      <c r="D103">
        <v>0.18500000238418579</v>
      </c>
      <c r="E103">
        <v>194</v>
      </c>
      <c r="F103">
        <v>0.15199999511241913</v>
      </c>
      <c r="G103">
        <v>190</v>
      </c>
      <c r="H103">
        <v>0.18000000715255737</v>
      </c>
      <c r="I103">
        <v>193</v>
      </c>
      <c r="J103">
        <v>0.14300000667572021</v>
      </c>
      <c r="K103">
        <v>194</v>
      </c>
      <c r="L103">
        <v>0.11999999731779099</v>
      </c>
      <c r="M103">
        <v>190</v>
      </c>
      <c r="N103">
        <v>0.12399999797344208</v>
      </c>
      <c r="O103">
        <v>192</v>
      </c>
      <c r="P103">
        <v>0.12200000137090683</v>
      </c>
      <c r="Q103">
        <v>189</v>
      </c>
      <c r="R103">
        <v>0.16300000250339508</v>
      </c>
      <c r="S103">
        <v>190</v>
      </c>
      <c r="T103">
        <v>0.20399999618530273</v>
      </c>
      <c r="U103">
        <v>188</v>
      </c>
      <c r="V103">
        <v>0.25799998641014099</v>
      </c>
      <c r="W103">
        <v>191</v>
      </c>
      <c r="X103">
        <v>0.21600000560283661</v>
      </c>
      <c r="Y103">
        <v>193</v>
      </c>
      <c r="Z103">
        <v>0.13099999725818634</v>
      </c>
      <c r="AA103">
        <v>188</v>
      </c>
      <c r="AB103">
        <v>0.15000000596046448</v>
      </c>
      <c r="AC103">
        <v>191</v>
      </c>
      <c r="AD103">
        <v>0.13699999451637268</v>
      </c>
      <c r="AE103">
        <v>190</v>
      </c>
      <c r="AF103">
        <v>0.12800000607967377</v>
      </c>
      <c r="AG103">
        <v>193</v>
      </c>
      <c r="AH103">
        <v>0.21500000357627869</v>
      </c>
      <c r="AI103">
        <v>193</v>
      </c>
      <c r="AJ103">
        <v>0.25600001215934753</v>
      </c>
      <c r="AK103">
        <v>192</v>
      </c>
      <c r="AL103">
        <v>0.11400000005960464</v>
      </c>
      <c r="AM103">
        <v>195</v>
      </c>
      <c r="AN103">
        <v>0.11999999731779099</v>
      </c>
      <c r="AO103">
        <v>191</v>
      </c>
      <c r="AP103">
        <v>0.12999999523162842</v>
      </c>
    </row>
    <row r="104" spans="2:42" x14ac:dyDescent="0.2">
      <c r="B104" t="s">
        <v>224</v>
      </c>
      <c r="C104">
        <v>772</v>
      </c>
      <c r="D104">
        <v>6.4460000991821289</v>
      </c>
      <c r="E104">
        <v>773</v>
      </c>
      <c r="F104">
        <v>9.2510004043579102</v>
      </c>
      <c r="G104">
        <v>768</v>
      </c>
      <c r="H104">
        <v>5.6599998474121094</v>
      </c>
      <c r="I104">
        <v>772</v>
      </c>
      <c r="J104">
        <v>6.8080000877380371</v>
      </c>
      <c r="K104">
        <v>772</v>
      </c>
      <c r="L104">
        <v>8.7130002975463867</v>
      </c>
      <c r="M104">
        <v>765</v>
      </c>
      <c r="N104">
        <v>8.4239997863769531</v>
      </c>
      <c r="O104">
        <v>767</v>
      </c>
      <c r="P104">
        <v>10.01099967956543</v>
      </c>
      <c r="Q104">
        <v>775</v>
      </c>
      <c r="R104">
        <v>14.737000465393066</v>
      </c>
      <c r="S104">
        <v>771</v>
      </c>
      <c r="T104">
        <v>11.192999839782715</v>
      </c>
      <c r="U104">
        <v>778</v>
      </c>
      <c r="V104">
        <v>5.0469999313354492</v>
      </c>
      <c r="W104">
        <v>765</v>
      </c>
      <c r="X104">
        <v>13.128000259399414</v>
      </c>
      <c r="Y104">
        <v>771</v>
      </c>
      <c r="Z104">
        <v>8.0550003051757812</v>
      </c>
      <c r="AA104">
        <v>769</v>
      </c>
      <c r="AB104">
        <v>10.880999565124512</v>
      </c>
      <c r="AC104">
        <v>773</v>
      </c>
      <c r="AD104">
        <v>6.5900001525878906</v>
      </c>
      <c r="AE104">
        <v>780</v>
      </c>
      <c r="AF104">
        <v>5.254000186920166</v>
      </c>
      <c r="AG104">
        <v>777</v>
      </c>
      <c r="AH104">
        <v>8.880000114440918</v>
      </c>
      <c r="AI104">
        <v>768</v>
      </c>
      <c r="AJ104">
        <v>4.7529997825622559</v>
      </c>
      <c r="AK104">
        <v>766</v>
      </c>
      <c r="AL104">
        <v>10.876999855041504</v>
      </c>
      <c r="AM104">
        <v>779</v>
      </c>
      <c r="AN104">
        <v>5.8600001335144043</v>
      </c>
      <c r="AO104">
        <v>773</v>
      </c>
      <c r="AP104">
        <v>9.1450004577636719</v>
      </c>
    </row>
    <row r="105" spans="2:42" x14ac:dyDescent="0.2">
      <c r="B105" t="s">
        <v>29</v>
      </c>
      <c r="C105">
        <v>63</v>
      </c>
      <c r="D105">
        <v>5.6000001728534698E-2</v>
      </c>
      <c r="E105">
        <v>61</v>
      </c>
      <c r="F105">
        <v>2.8000000864267349E-2</v>
      </c>
      <c r="G105">
        <v>63</v>
      </c>
      <c r="H105">
        <v>8.7999999523162842E-2</v>
      </c>
      <c r="I105">
        <v>63</v>
      </c>
      <c r="J105">
        <v>3.7000000476837158E-2</v>
      </c>
      <c r="K105">
        <v>63</v>
      </c>
      <c r="L105">
        <v>5.9000000357627869E-2</v>
      </c>
      <c r="M105">
        <v>65</v>
      </c>
      <c r="N105">
        <v>4.8999998718500137E-2</v>
      </c>
      <c r="O105">
        <v>61</v>
      </c>
      <c r="P105">
        <v>3.5000000149011612E-2</v>
      </c>
      <c r="Q105">
        <v>61</v>
      </c>
      <c r="R105">
        <v>4.8999998718500137E-2</v>
      </c>
      <c r="S105">
        <v>64</v>
      </c>
      <c r="T105">
        <v>3.4000001847743988E-2</v>
      </c>
      <c r="U105">
        <v>64</v>
      </c>
      <c r="V105">
        <v>4.3999999761581421E-2</v>
      </c>
      <c r="W105">
        <v>64</v>
      </c>
      <c r="X105">
        <v>4.3000001460313797E-2</v>
      </c>
      <c r="Y105">
        <v>61</v>
      </c>
      <c r="Z105">
        <v>5.7000000029802322E-2</v>
      </c>
      <c r="AA105">
        <v>64</v>
      </c>
      <c r="AB105">
        <v>7.6999999582767487E-2</v>
      </c>
      <c r="AC105">
        <v>65</v>
      </c>
      <c r="AD105">
        <v>3.0999999493360519E-2</v>
      </c>
      <c r="AE105">
        <v>61</v>
      </c>
      <c r="AF105">
        <v>3.9999999105930328E-2</v>
      </c>
      <c r="AG105">
        <v>65</v>
      </c>
      <c r="AH105">
        <v>3.2999999821186066E-2</v>
      </c>
      <c r="AI105">
        <v>61</v>
      </c>
      <c r="AJ105">
        <v>3.9000000804662704E-2</v>
      </c>
      <c r="AK105">
        <v>62</v>
      </c>
      <c r="AL105">
        <v>3.7000000476837158E-2</v>
      </c>
      <c r="AM105">
        <v>62</v>
      </c>
      <c r="AN105">
        <v>3.7000000476837158E-2</v>
      </c>
      <c r="AO105">
        <v>61</v>
      </c>
      <c r="AP105">
        <v>3.7999998778104782E-2</v>
      </c>
    </row>
    <row r="106" spans="2:42" x14ac:dyDescent="0.2">
      <c r="B106" t="s">
        <v>30</v>
      </c>
      <c r="C106">
        <v>11</v>
      </c>
      <c r="D106">
        <v>2.199999988079071E-2</v>
      </c>
      <c r="E106">
        <v>11</v>
      </c>
      <c r="F106">
        <v>3.0999999493360519E-2</v>
      </c>
      <c r="G106">
        <v>11</v>
      </c>
      <c r="H106">
        <v>3.9000000804662704E-2</v>
      </c>
      <c r="I106">
        <v>12</v>
      </c>
      <c r="J106">
        <v>2.6000000536441803E-2</v>
      </c>
      <c r="K106">
        <v>11</v>
      </c>
      <c r="L106">
        <v>2.199999988079071E-2</v>
      </c>
      <c r="M106">
        <v>11</v>
      </c>
      <c r="N106">
        <v>2.8000000864267349E-2</v>
      </c>
      <c r="O106">
        <v>11</v>
      </c>
      <c r="P106">
        <v>1.9999999552965164E-2</v>
      </c>
      <c r="Q106">
        <v>11</v>
      </c>
      <c r="R106">
        <v>2.7000000700354576E-2</v>
      </c>
      <c r="S106">
        <v>11</v>
      </c>
      <c r="T106">
        <v>2.199999988079071E-2</v>
      </c>
      <c r="U106">
        <v>11</v>
      </c>
      <c r="V106">
        <v>2.3000000044703484E-2</v>
      </c>
      <c r="W106">
        <v>11</v>
      </c>
      <c r="X106">
        <v>1.9999999552965164E-2</v>
      </c>
      <c r="Y106">
        <v>11</v>
      </c>
      <c r="Z106">
        <v>2.3000000044703484E-2</v>
      </c>
      <c r="AA106">
        <v>11</v>
      </c>
      <c r="AB106">
        <v>2.199999988079071E-2</v>
      </c>
      <c r="AC106">
        <v>12</v>
      </c>
      <c r="AD106">
        <v>2.199999988079071E-2</v>
      </c>
      <c r="AE106">
        <v>12</v>
      </c>
      <c r="AF106">
        <v>1.8999999389052391E-2</v>
      </c>
      <c r="AG106">
        <v>12</v>
      </c>
      <c r="AH106">
        <v>1.9999999552965164E-2</v>
      </c>
      <c r="AI106">
        <v>11</v>
      </c>
      <c r="AJ106">
        <v>2.4000000208616257E-2</v>
      </c>
      <c r="AK106">
        <v>11</v>
      </c>
      <c r="AL106">
        <v>2.3000000044703484E-2</v>
      </c>
      <c r="AM106">
        <v>11</v>
      </c>
      <c r="AN106">
        <v>1.9999999552965164E-2</v>
      </c>
      <c r="AO106">
        <v>11</v>
      </c>
      <c r="AP106">
        <v>2.199999988079071E-2</v>
      </c>
    </row>
    <row r="107" spans="2:42" x14ac:dyDescent="0.2">
      <c r="B107" t="s">
        <v>225</v>
      </c>
      <c r="C107">
        <v>2</v>
      </c>
      <c r="D107">
        <v>6.0000000521540642E-3</v>
      </c>
      <c r="E107">
        <v>2</v>
      </c>
      <c r="F107">
        <v>6.0000000521540642E-3</v>
      </c>
      <c r="G107">
        <v>2</v>
      </c>
      <c r="H107">
        <v>6.0000000521540642E-3</v>
      </c>
      <c r="I107">
        <v>2</v>
      </c>
      <c r="J107">
        <v>7.0000002160668373E-3</v>
      </c>
      <c r="K107">
        <v>2</v>
      </c>
      <c r="L107">
        <v>6.0000000521540642E-3</v>
      </c>
      <c r="M107">
        <v>2</v>
      </c>
      <c r="N107">
        <v>7.0000002160668373E-3</v>
      </c>
      <c r="O107">
        <v>2</v>
      </c>
      <c r="P107">
        <v>6.0000000521540642E-3</v>
      </c>
      <c r="Q107">
        <v>2</v>
      </c>
      <c r="R107">
        <v>6.0000000521540642E-3</v>
      </c>
      <c r="S107">
        <v>2</v>
      </c>
      <c r="T107">
        <v>7.0000002160668373E-3</v>
      </c>
      <c r="U107">
        <v>2</v>
      </c>
      <c r="V107">
        <v>6.0000000521540642E-3</v>
      </c>
      <c r="W107">
        <v>2</v>
      </c>
      <c r="X107">
        <v>6.0000000521540642E-3</v>
      </c>
      <c r="Y107">
        <v>2</v>
      </c>
      <c r="Z107">
        <v>7.0000002160668373E-3</v>
      </c>
      <c r="AA107">
        <v>2</v>
      </c>
      <c r="AB107">
        <v>6.0000000521540642E-3</v>
      </c>
      <c r="AC107">
        <v>2</v>
      </c>
      <c r="AD107">
        <v>7.0000002160668373E-3</v>
      </c>
      <c r="AE107">
        <v>2</v>
      </c>
      <c r="AF107">
        <v>6.0000000521540642E-3</v>
      </c>
      <c r="AG107">
        <v>2</v>
      </c>
      <c r="AH107">
        <v>6.0000000521540642E-3</v>
      </c>
      <c r="AI107">
        <v>2</v>
      </c>
      <c r="AJ107">
        <v>7.0000002160668373E-3</v>
      </c>
      <c r="AK107">
        <v>2</v>
      </c>
      <c r="AL107">
        <v>6.0000000521540642E-3</v>
      </c>
      <c r="AM107">
        <v>2</v>
      </c>
      <c r="AN107">
        <v>6.0000000521540642E-3</v>
      </c>
      <c r="AO107">
        <v>2</v>
      </c>
      <c r="AP107">
        <v>7.0000002160668373E-3</v>
      </c>
    </row>
    <row r="108" spans="2:42" x14ac:dyDescent="0.2">
      <c r="B108" t="s">
        <v>226</v>
      </c>
      <c r="C108">
        <v>116</v>
      </c>
      <c r="D108">
        <v>0.38199999928474426</v>
      </c>
      <c r="E108">
        <v>114</v>
      </c>
      <c r="F108">
        <v>0.37200000882148743</v>
      </c>
      <c r="G108">
        <v>118</v>
      </c>
      <c r="H108">
        <v>0.25400000810623169</v>
      </c>
      <c r="I108">
        <v>120</v>
      </c>
      <c r="J108">
        <v>0.38699999451637268</v>
      </c>
      <c r="K108">
        <v>118</v>
      </c>
      <c r="L108">
        <v>0.3919999897480011</v>
      </c>
      <c r="M108">
        <v>120</v>
      </c>
      <c r="N108">
        <v>0.23100000619888306</v>
      </c>
      <c r="O108">
        <v>122</v>
      </c>
      <c r="P108">
        <v>0.2370000034570694</v>
      </c>
      <c r="Q108">
        <v>118</v>
      </c>
      <c r="R108">
        <v>0.25699999928474426</v>
      </c>
      <c r="S108">
        <v>120</v>
      </c>
      <c r="T108">
        <v>0.22300000488758087</v>
      </c>
      <c r="U108">
        <v>120</v>
      </c>
      <c r="V108">
        <v>0.25</v>
      </c>
      <c r="W108">
        <v>120</v>
      </c>
      <c r="X108">
        <v>0.24300000071525574</v>
      </c>
      <c r="Y108">
        <v>118</v>
      </c>
      <c r="Z108">
        <v>0.3059999942779541</v>
      </c>
      <c r="AA108">
        <v>122</v>
      </c>
      <c r="AB108">
        <v>0.18899999558925629</v>
      </c>
      <c r="AC108">
        <v>122</v>
      </c>
      <c r="AD108">
        <v>0.24400000274181366</v>
      </c>
      <c r="AE108">
        <v>120</v>
      </c>
      <c r="AF108">
        <v>0.28400000929832458</v>
      </c>
      <c r="AG108">
        <v>118</v>
      </c>
      <c r="AH108">
        <v>0.24699999392032623</v>
      </c>
      <c r="AI108">
        <v>116</v>
      </c>
      <c r="AJ108">
        <v>0.33000001311302185</v>
      </c>
      <c r="AK108">
        <v>122</v>
      </c>
      <c r="AL108">
        <v>0.30199998617172241</v>
      </c>
      <c r="AM108">
        <v>120</v>
      </c>
      <c r="AN108">
        <v>0.30199998617172241</v>
      </c>
      <c r="AO108">
        <v>116</v>
      </c>
      <c r="AP108">
        <v>0.24899999797344208</v>
      </c>
    </row>
    <row r="109" spans="2:42" x14ac:dyDescent="0.2">
      <c r="B109" t="s">
        <v>227</v>
      </c>
      <c r="C109">
        <v>1104</v>
      </c>
      <c r="D109">
        <v>3.3389999866485596</v>
      </c>
      <c r="E109">
        <v>1112</v>
      </c>
      <c r="F109">
        <v>5.6570000648498535</v>
      </c>
      <c r="G109">
        <v>1096</v>
      </c>
      <c r="H109">
        <v>3.5810000896453857</v>
      </c>
      <c r="I109">
        <v>1101</v>
      </c>
      <c r="J109">
        <v>4.7800002098083496</v>
      </c>
      <c r="K109">
        <v>1090</v>
      </c>
      <c r="L109">
        <v>8.0699996948242188</v>
      </c>
      <c r="M109">
        <v>1096</v>
      </c>
      <c r="N109">
        <v>5.5619997978210449</v>
      </c>
      <c r="O109">
        <v>1109</v>
      </c>
      <c r="P109">
        <v>3.9690001010894775</v>
      </c>
      <c r="Q109">
        <v>1100</v>
      </c>
      <c r="R109">
        <v>3.2609999179840088</v>
      </c>
      <c r="S109">
        <v>1109</v>
      </c>
      <c r="T109">
        <v>3.371999979019165</v>
      </c>
      <c r="U109">
        <v>1097</v>
      </c>
      <c r="V109">
        <v>4.0359997749328613</v>
      </c>
      <c r="W109">
        <v>1096</v>
      </c>
      <c r="X109">
        <v>4.3220000267028809</v>
      </c>
      <c r="Y109">
        <v>1095</v>
      </c>
      <c r="Z109">
        <v>3.7820000648498535</v>
      </c>
      <c r="AA109">
        <v>1098</v>
      </c>
      <c r="AB109">
        <v>8.1619997024536133</v>
      </c>
      <c r="AC109">
        <v>1093</v>
      </c>
      <c r="AD109">
        <v>2.4309999942779541</v>
      </c>
      <c r="AE109">
        <v>1110</v>
      </c>
      <c r="AF109">
        <v>3.6830000877380371</v>
      </c>
      <c r="AG109">
        <v>1097</v>
      </c>
      <c r="AH109">
        <v>6.1750001907348633</v>
      </c>
      <c r="AI109">
        <v>1105</v>
      </c>
      <c r="AJ109">
        <v>2.4179999828338623</v>
      </c>
      <c r="AK109">
        <v>1104</v>
      </c>
      <c r="AL109">
        <v>2.7030000686645508</v>
      </c>
      <c r="AM109">
        <v>1099</v>
      </c>
      <c r="AN109">
        <v>3.7309999465942383</v>
      </c>
      <c r="AO109">
        <v>1103</v>
      </c>
      <c r="AP109">
        <v>2.7439999580383301</v>
      </c>
    </row>
    <row r="110" spans="2:42" x14ac:dyDescent="0.2">
      <c r="B110" t="s">
        <v>229</v>
      </c>
      <c r="C110">
        <v>268</v>
      </c>
      <c r="D110">
        <v>8.2229995727539062</v>
      </c>
      <c r="E110">
        <v>269</v>
      </c>
      <c r="F110">
        <v>8.3400001525878906</v>
      </c>
      <c r="G110">
        <v>269</v>
      </c>
      <c r="H110">
        <v>5.9499998092651367</v>
      </c>
      <c r="I110">
        <v>269</v>
      </c>
      <c r="J110">
        <v>6.6750001907348633</v>
      </c>
      <c r="K110">
        <v>268</v>
      </c>
      <c r="L110">
        <v>7.7389998435974121</v>
      </c>
      <c r="M110">
        <v>268</v>
      </c>
      <c r="N110">
        <v>10.37600040435791</v>
      </c>
      <c r="O110">
        <v>268</v>
      </c>
      <c r="P110">
        <v>11.571000099182129</v>
      </c>
      <c r="Q110">
        <v>270</v>
      </c>
      <c r="R110">
        <v>6.6170001029968262</v>
      </c>
      <c r="S110">
        <v>269</v>
      </c>
      <c r="T110">
        <v>7.1310000419616699</v>
      </c>
      <c r="U110">
        <v>268</v>
      </c>
      <c r="V110">
        <v>5.5029997825622559</v>
      </c>
      <c r="W110">
        <v>270</v>
      </c>
      <c r="X110">
        <v>6.6919999122619629</v>
      </c>
      <c r="Y110">
        <v>268</v>
      </c>
      <c r="Z110">
        <v>5.8530001640319824</v>
      </c>
      <c r="AA110">
        <v>268</v>
      </c>
      <c r="AB110">
        <v>9.0319995880126953</v>
      </c>
      <c r="AC110">
        <v>268</v>
      </c>
      <c r="AD110">
        <v>8.6350002288818359</v>
      </c>
      <c r="AE110">
        <v>269</v>
      </c>
      <c r="AF110">
        <v>10.133000373840332</v>
      </c>
      <c r="AG110">
        <v>269</v>
      </c>
      <c r="AH110">
        <v>6.4070000648498535</v>
      </c>
      <c r="AI110">
        <v>268</v>
      </c>
      <c r="AJ110">
        <v>8.6789999008178711</v>
      </c>
      <c r="AK110">
        <v>269</v>
      </c>
      <c r="AL110">
        <v>6.7119998931884766</v>
      </c>
      <c r="AM110">
        <v>269</v>
      </c>
      <c r="AN110">
        <v>6.804999828338623</v>
      </c>
      <c r="AO110">
        <v>269</v>
      </c>
      <c r="AP110">
        <v>8.5419998168945312</v>
      </c>
    </row>
    <row r="111" spans="2:42" x14ac:dyDescent="0.2">
      <c r="B111" t="s">
        <v>251</v>
      </c>
      <c r="C111">
        <v>253</v>
      </c>
      <c r="D111">
        <v>7.6050000190734863</v>
      </c>
      <c r="E111">
        <v>254</v>
      </c>
      <c r="F111">
        <v>7.8810000419616699</v>
      </c>
      <c r="G111">
        <v>251</v>
      </c>
      <c r="H111">
        <v>7.629000186920166</v>
      </c>
      <c r="I111">
        <v>251</v>
      </c>
      <c r="J111">
        <v>6.9169998168945312</v>
      </c>
      <c r="K111">
        <v>251</v>
      </c>
      <c r="L111">
        <v>10.906000137329102</v>
      </c>
      <c r="M111">
        <v>251</v>
      </c>
      <c r="N111">
        <v>10.883999824523926</v>
      </c>
      <c r="O111">
        <v>251</v>
      </c>
      <c r="P111">
        <v>12.875</v>
      </c>
      <c r="Q111">
        <v>251</v>
      </c>
      <c r="R111">
        <v>8.4860000610351562</v>
      </c>
      <c r="S111">
        <v>251</v>
      </c>
      <c r="T111">
        <v>7.939000129699707</v>
      </c>
      <c r="U111">
        <v>251</v>
      </c>
      <c r="V111">
        <v>8.0729999542236328</v>
      </c>
      <c r="W111">
        <v>253</v>
      </c>
      <c r="X111">
        <v>6.7880001068115234</v>
      </c>
      <c r="Y111">
        <v>252</v>
      </c>
      <c r="Z111">
        <v>7.2170000076293945</v>
      </c>
      <c r="AA111">
        <v>251</v>
      </c>
      <c r="AB111">
        <v>7.1129999160766602</v>
      </c>
      <c r="AC111">
        <v>251</v>
      </c>
      <c r="AD111">
        <v>7.8070001602172852</v>
      </c>
      <c r="AE111">
        <v>251</v>
      </c>
      <c r="AF111">
        <v>8.8350000381469727</v>
      </c>
      <c r="AG111">
        <v>251</v>
      </c>
      <c r="AH111">
        <v>8.9530000686645508</v>
      </c>
      <c r="AI111">
        <v>251</v>
      </c>
      <c r="AJ111">
        <v>7.625</v>
      </c>
      <c r="AK111">
        <v>251</v>
      </c>
      <c r="AL111">
        <v>8.3839998245239258</v>
      </c>
      <c r="AM111">
        <v>251</v>
      </c>
      <c r="AN111">
        <v>10.00100040435791</v>
      </c>
      <c r="AO111">
        <v>252</v>
      </c>
      <c r="AP111">
        <v>6.8990001678466797</v>
      </c>
    </row>
    <row r="112" spans="2:42" x14ac:dyDescent="0.2">
      <c r="B112" t="s">
        <v>228</v>
      </c>
      <c r="C112">
        <v>262</v>
      </c>
      <c r="D112">
        <v>6.2849998474121094</v>
      </c>
      <c r="E112">
        <v>263</v>
      </c>
      <c r="F112">
        <v>6.1710000038146973</v>
      </c>
      <c r="G112">
        <v>262</v>
      </c>
      <c r="H112">
        <v>6.8039999008178711</v>
      </c>
      <c r="I112">
        <v>262</v>
      </c>
      <c r="J112">
        <v>11.685000419616699</v>
      </c>
      <c r="K112">
        <v>263</v>
      </c>
      <c r="L112">
        <v>6.0920000076293945</v>
      </c>
      <c r="M112">
        <v>262</v>
      </c>
      <c r="N112">
        <v>6.995999813079834</v>
      </c>
      <c r="O112">
        <v>262</v>
      </c>
      <c r="P112">
        <v>7.3449997901916504</v>
      </c>
      <c r="Q112">
        <v>263</v>
      </c>
      <c r="R112">
        <v>6.6560001373291016</v>
      </c>
      <c r="S112">
        <v>262</v>
      </c>
      <c r="T112">
        <v>6.3280000686645508</v>
      </c>
      <c r="U112">
        <v>262</v>
      </c>
      <c r="V112">
        <v>6.1539998054504395</v>
      </c>
      <c r="W112">
        <v>264</v>
      </c>
      <c r="X112">
        <v>6.1380000114440918</v>
      </c>
      <c r="Y112">
        <v>263</v>
      </c>
      <c r="Z112">
        <v>6.6529998779296875</v>
      </c>
      <c r="AA112">
        <v>262</v>
      </c>
      <c r="AB112">
        <v>11.263999938964844</v>
      </c>
      <c r="AC112">
        <v>262</v>
      </c>
      <c r="AD112">
        <v>6.1500000953674316</v>
      </c>
      <c r="AE112">
        <v>262</v>
      </c>
      <c r="AF112">
        <v>8.7379999160766602</v>
      </c>
      <c r="AG112">
        <v>263</v>
      </c>
      <c r="AH112">
        <v>6.9499998092651367</v>
      </c>
      <c r="AI112">
        <v>262</v>
      </c>
      <c r="AJ112">
        <v>17.565999984741211</v>
      </c>
      <c r="AK112">
        <v>263</v>
      </c>
      <c r="AL112">
        <v>5.7150001525878906</v>
      </c>
      <c r="AM112">
        <v>262</v>
      </c>
      <c r="AN112">
        <v>7.3509998321533203</v>
      </c>
      <c r="AO112">
        <v>262</v>
      </c>
      <c r="AP112">
        <v>5.6970000267028809</v>
      </c>
    </row>
    <row r="113" spans="2:42" x14ac:dyDescent="0.2">
      <c r="B113" t="s">
        <v>31</v>
      </c>
      <c r="C113">
        <v>2592</v>
      </c>
      <c r="D113">
        <v>325.86300659179688</v>
      </c>
      <c r="E113">
        <v>2586</v>
      </c>
      <c r="F113">
        <v>261.23699951171875</v>
      </c>
      <c r="G113">
        <v>2600</v>
      </c>
      <c r="H113">
        <v>445.45599365234375</v>
      </c>
      <c r="I113">
        <v>2596</v>
      </c>
      <c r="J113">
        <v>180.43899536132812</v>
      </c>
      <c r="K113">
        <v>2598</v>
      </c>
      <c r="L113">
        <v>287.98599243164062</v>
      </c>
      <c r="M113">
        <v>2606</v>
      </c>
      <c r="N113">
        <v>182.35099792480469</v>
      </c>
      <c r="O113">
        <v>2595</v>
      </c>
      <c r="P113">
        <v>192.70599365234375</v>
      </c>
      <c r="Q113">
        <v>2588</v>
      </c>
      <c r="R113">
        <v>517.0789794921875</v>
      </c>
      <c r="S113">
        <v>2604</v>
      </c>
      <c r="T113">
        <v>178.02400207519531</v>
      </c>
      <c r="U113">
        <v>2609</v>
      </c>
      <c r="V113">
        <v>191.81399536132812</v>
      </c>
      <c r="W113">
        <v>2594</v>
      </c>
      <c r="X113">
        <v>330.79901123046875</v>
      </c>
      <c r="Y113">
        <v>2586</v>
      </c>
      <c r="Z113">
        <v>473.47601318359375</v>
      </c>
      <c r="AA113">
        <v>2594</v>
      </c>
      <c r="AB113">
        <v>406.86099243164062</v>
      </c>
      <c r="AC113">
        <v>2599</v>
      </c>
      <c r="AD113">
        <v>177.7239990234375</v>
      </c>
      <c r="AE113">
        <v>2595</v>
      </c>
      <c r="AF113">
        <v>233.70100402832031</v>
      </c>
      <c r="AG113">
        <v>2582</v>
      </c>
      <c r="AH113">
        <v>587.10302734375</v>
      </c>
      <c r="AI113">
        <v>2589</v>
      </c>
      <c r="AJ113">
        <v>510.44500732421875</v>
      </c>
      <c r="AK113">
        <v>2601</v>
      </c>
      <c r="AL113">
        <v>204.99699401855469</v>
      </c>
      <c r="AM113">
        <v>2587</v>
      </c>
      <c r="AN113">
        <v>402.00100708007812</v>
      </c>
      <c r="AO113">
        <v>2599</v>
      </c>
      <c r="AP113">
        <v>225.88499450683594</v>
      </c>
    </row>
    <row r="114" spans="2:42" x14ac:dyDescent="0.2">
      <c r="B114" t="s">
        <v>230</v>
      </c>
      <c r="C114">
        <v>34</v>
      </c>
      <c r="D114">
        <v>20.11400032043457</v>
      </c>
      <c r="E114">
        <v>40</v>
      </c>
      <c r="F114">
        <v>7.2729997634887695</v>
      </c>
      <c r="G114">
        <v>40</v>
      </c>
      <c r="H114">
        <v>7.4089999198913574</v>
      </c>
      <c r="I114">
        <v>40</v>
      </c>
      <c r="J114">
        <v>7.9840002059936523</v>
      </c>
      <c r="K114">
        <v>38</v>
      </c>
      <c r="L114">
        <v>9.6140003204345703</v>
      </c>
      <c r="M114">
        <v>40</v>
      </c>
      <c r="N114">
        <v>7.1449999809265137</v>
      </c>
      <c r="O114">
        <v>40</v>
      </c>
      <c r="P114">
        <v>6.6789999008178711</v>
      </c>
      <c r="Q114">
        <v>40</v>
      </c>
      <c r="R114">
        <v>7.4530000686645508</v>
      </c>
      <c r="S114">
        <v>40</v>
      </c>
      <c r="T114">
        <v>7.5300002098083496</v>
      </c>
      <c r="U114">
        <v>40</v>
      </c>
      <c r="V114">
        <v>7.5500001907348633</v>
      </c>
      <c r="W114">
        <v>40</v>
      </c>
      <c r="X114">
        <v>8.6319999694824219</v>
      </c>
      <c r="Y114">
        <v>40</v>
      </c>
      <c r="Z114">
        <v>7.3550000190734863</v>
      </c>
      <c r="AA114">
        <v>34</v>
      </c>
      <c r="AB114">
        <v>15.258999824523926</v>
      </c>
      <c r="AC114">
        <v>34</v>
      </c>
      <c r="AD114">
        <v>15.991999626159668</v>
      </c>
      <c r="AE114">
        <v>40</v>
      </c>
      <c r="AF114">
        <v>7.3920001983642578</v>
      </c>
      <c r="AG114">
        <v>36</v>
      </c>
      <c r="AH114">
        <v>14.234000205993652</v>
      </c>
      <c r="AI114">
        <v>40</v>
      </c>
      <c r="AJ114">
        <v>7.2579998970031738</v>
      </c>
      <c r="AK114">
        <v>36</v>
      </c>
      <c r="AL114">
        <v>17.066999435424805</v>
      </c>
      <c r="AM114">
        <v>40</v>
      </c>
      <c r="AN114">
        <v>7.4270000457763672</v>
      </c>
      <c r="AO114">
        <v>34</v>
      </c>
      <c r="AP114">
        <v>14.694000244140625</v>
      </c>
    </row>
    <row r="115" spans="2:42" x14ac:dyDescent="0.2">
      <c r="B115" t="s">
        <v>231</v>
      </c>
      <c r="C115">
        <v>138</v>
      </c>
      <c r="D115">
        <v>9.4350004196166992</v>
      </c>
      <c r="E115">
        <v>139</v>
      </c>
      <c r="F115">
        <v>13.026000022888184</v>
      </c>
      <c r="G115">
        <v>139</v>
      </c>
      <c r="H115">
        <v>15.723999977111816</v>
      </c>
      <c r="I115">
        <v>141</v>
      </c>
      <c r="J115">
        <v>9.625</v>
      </c>
      <c r="K115">
        <v>140</v>
      </c>
      <c r="L115">
        <v>8.6700000762939453</v>
      </c>
      <c r="M115">
        <v>139</v>
      </c>
      <c r="N115">
        <v>11.75</v>
      </c>
      <c r="O115">
        <v>141</v>
      </c>
      <c r="P115">
        <v>10.281000137329102</v>
      </c>
      <c r="Q115">
        <v>139</v>
      </c>
      <c r="R115">
        <v>11.083000183105469</v>
      </c>
      <c r="S115">
        <v>141</v>
      </c>
      <c r="T115">
        <v>12.166000366210938</v>
      </c>
      <c r="U115">
        <v>140</v>
      </c>
      <c r="V115">
        <v>12.840000152587891</v>
      </c>
      <c r="W115">
        <v>139</v>
      </c>
      <c r="X115">
        <v>9.2130002975463867</v>
      </c>
      <c r="Y115">
        <v>142</v>
      </c>
      <c r="Z115">
        <v>9.2309999465942383</v>
      </c>
      <c r="AA115">
        <v>138</v>
      </c>
      <c r="AB115">
        <v>25.339000701904297</v>
      </c>
      <c r="AC115">
        <v>141</v>
      </c>
      <c r="AD115">
        <v>9.7569999694824219</v>
      </c>
      <c r="AE115">
        <v>141</v>
      </c>
      <c r="AF115">
        <v>15.505999565124512</v>
      </c>
      <c r="AG115">
        <v>144</v>
      </c>
      <c r="AH115">
        <v>13.791999816894531</v>
      </c>
      <c r="AI115">
        <v>144</v>
      </c>
      <c r="AJ115">
        <v>15.840999603271484</v>
      </c>
      <c r="AK115">
        <v>141</v>
      </c>
      <c r="AL115">
        <v>9.7259998321533203</v>
      </c>
      <c r="AM115">
        <v>139</v>
      </c>
      <c r="AN115">
        <v>12.376999855041504</v>
      </c>
      <c r="AO115">
        <v>142</v>
      </c>
      <c r="AP115">
        <v>14.529999732971191</v>
      </c>
    </row>
    <row r="116" spans="2:42" x14ac:dyDescent="0.2">
      <c r="B116" t="s">
        <v>32</v>
      </c>
      <c r="C116">
        <v>95</v>
      </c>
      <c r="D116">
        <v>0.23999999463558197</v>
      </c>
      <c r="E116">
        <v>94</v>
      </c>
      <c r="F116">
        <v>0.27300000190734863</v>
      </c>
      <c r="G116">
        <v>93</v>
      </c>
      <c r="H116">
        <v>0.23800000548362732</v>
      </c>
      <c r="I116">
        <v>93</v>
      </c>
      <c r="J116">
        <v>0.21299999952316284</v>
      </c>
      <c r="K116">
        <v>94</v>
      </c>
      <c r="L116">
        <v>0.25200000405311584</v>
      </c>
      <c r="M116">
        <v>93</v>
      </c>
      <c r="N116">
        <v>0.29499998688697815</v>
      </c>
      <c r="O116">
        <v>94</v>
      </c>
      <c r="P116">
        <v>0.30500000715255737</v>
      </c>
      <c r="Q116">
        <v>94</v>
      </c>
      <c r="R116">
        <v>0.26499998569488525</v>
      </c>
      <c r="S116">
        <v>94</v>
      </c>
      <c r="T116">
        <v>0.24899999797344208</v>
      </c>
      <c r="U116">
        <v>93</v>
      </c>
      <c r="V116">
        <v>0.36599999666213989</v>
      </c>
      <c r="W116">
        <v>93</v>
      </c>
      <c r="X116">
        <v>0.33199998736381531</v>
      </c>
      <c r="Y116">
        <v>93</v>
      </c>
      <c r="Z116">
        <v>0.20200000703334808</v>
      </c>
      <c r="AA116">
        <v>94</v>
      </c>
      <c r="AB116">
        <v>0.20200000703334808</v>
      </c>
      <c r="AC116">
        <v>93</v>
      </c>
      <c r="AD116">
        <v>0.30399999022483826</v>
      </c>
      <c r="AE116">
        <v>90</v>
      </c>
      <c r="AF116">
        <v>0.32300001382827759</v>
      </c>
      <c r="AG116">
        <v>95</v>
      </c>
      <c r="AH116">
        <v>0.22900000214576721</v>
      </c>
      <c r="AI116">
        <v>94</v>
      </c>
      <c r="AJ116">
        <v>0.30700001120567322</v>
      </c>
      <c r="AK116">
        <v>98</v>
      </c>
      <c r="AL116">
        <v>0.19599999487400055</v>
      </c>
      <c r="AM116">
        <v>91</v>
      </c>
      <c r="AN116">
        <v>0.39500001072883606</v>
      </c>
      <c r="AO116">
        <v>91</v>
      </c>
      <c r="AP116">
        <v>0.28499999642372131</v>
      </c>
    </row>
    <row r="117" spans="2:42" x14ac:dyDescent="0.2">
      <c r="B117" t="s">
        <v>232</v>
      </c>
      <c r="C117">
        <v>20</v>
      </c>
      <c r="D117">
        <v>2.7000000700354576E-2</v>
      </c>
      <c r="E117">
        <v>20</v>
      </c>
      <c r="F117">
        <v>2.4000000208616257E-2</v>
      </c>
      <c r="G117">
        <v>20</v>
      </c>
      <c r="H117">
        <v>2.500000037252903E-2</v>
      </c>
      <c r="I117">
        <v>20</v>
      </c>
      <c r="J117">
        <v>2.7000000700354576E-2</v>
      </c>
      <c r="K117">
        <v>20</v>
      </c>
      <c r="L117">
        <v>2.500000037252903E-2</v>
      </c>
      <c r="M117">
        <v>20</v>
      </c>
      <c r="N117">
        <v>2.6000000536441803E-2</v>
      </c>
      <c r="O117">
        <v>20</v>
      </c>
      <c r="P117">
        <v>2.7000000700354576E-2</v>
      </c>
      <c r="Q117">
        <v>20</v>
      </c>
      <c r="R117">
        <v>2.6000000536441803E-2</v>
      </c>
      <c r="S117">
        <v>20</v>
      </c>
      <c r="T117">
        <v>2.7000000700354576E-2</v>
      </c>
      <c r="U117">
        <v>20</v>
      </c>
      <c r="V117">
        <v>2.8000000864267349E-2</v>
      </c>
      <c r="W117">
        <v>20</v>
      </c>
      <c r="X117">
        <v>2.6000000536441803E-2</v>
      </c>
      <c r="Y117">
        <v>20</v>
      </c>
      <c r="Z117">
        <v>2.4000000208616257E-2</v>
      </c>
      <c r="AA117">
        <v>20</v>
      </c>
      <c r="AB117">
        <v>2.6000000536441803E-2</v>
      </c>
      <c r="AC117">
        <v>20</v>
      </c>
      <c r="AD117">
        <v>2.7000000700354576E-2</v>
      </c>
      <c r="AE117">
        <v>20</v>
      </c>
      <c r="AF117">
        <v>2.4000000208616257E-2</v>
      </c>
      <c r="AG117">
        <v>20</v>
      </c>
      <c r="AH117">
        <v>2.8999999165534973E-2</v>
      </c>
      <c r="AI117">
        <v>20</v>
      </c>
      <c r="AJ117">
        <v>2.500000037252903E-2</v>
      </c>
      <c r="AK117">
        <v>20</v>
      </c>
      <c r="AL117">
        <v>2.6000000536441803E-2</v>
      </c>
      <c r="AM117">
        <v>20</v>
      </c>
      <c r="AN117">
        <v>2.500000037252903E-2</v>
      </c>
      <c r="AO117">
        <v>20</v>
      </c>
      <c r="AP117">
        <v>2.8000000864267349E-2</v>
      </c>
    </row>
    <row r="118" spans="2:42" x14ac:dyDescent="0.2">
      <c r="B118" t="s">
        <v>233</v>
      </c>
      <c r="C118">
        <v>418</v>
      </c>
      <c r="D118">
        <v>3.371999979019165</v>
      </c>
      <c r="E118">
        <v>418</v>
      </c>
      <c r="F118">
        <v>3.6329998970031738</v>
      </c>
      <c r="G118">
        <v>418</v>
      </c>
      <c r="H118">
        <v>2.1679999828338623</v>
      </c>
      <c r="I118">
        <v>414</v>
      </c>
      <c r="J118">
        <v>2.2860000133514404</v>
      </c>
      <c r="K118">
        <v>414</v>
      </c>
      <c r="L118">
        <v>2.5109999179840088</v>
      </c>
      <c r="M118">
        <v>404</v>
      </c>
      <c r="N118">
        <v>5.7519998550415039</v>
      </c>
      <c r="O118">
        <v>406</v>
      </c>
      <c r="P118">
        <v>4.9539999961853027</v>
      </c>
      <c r="Q118">
        <v>428</v>
      </c>
      <c r="R118">
        <v>2.6570000648498535</v>
      </c>
      <c r="S118">
        <v>406</v>
      </c>
      <c r="T118">
        <v>5.0879998207092285</v>
      </c>
      <c r="U118">
        <v>428</v>
      </c>
      <c r="V118">
        <v>1.9730000495910645</v>
      </c>
      <c r="W118">
        <v>414</v>
      </c>
      <c r="X118">
        <v>3.2230000495910645</v>
      </c>
      <c r="Y118">
        <v>414</v>
      </c>
      <c r="Z118">
        <v>4.9229998588562012</v>
      </c>
      <c r="AA118">
        <v>406</v>
      </c>
      <c r="AB118">
        <v>5.7630000114440918</v>
      </c>
      <c r="AC118">
        <v>414</v>
      </c>
      <c r="AD118">
        <v>2.5639998912811279</v>
      </c>
      <c r="AE118">
        <v>428</v>
      </c>
      <c r="AF118">
        <v>1.7139999866485596</v>
      </c>
      <c r="AG118">
        <v>430</v>
      </c>
      <c r="AH118">
        <v>2.0190000534057617</v>
      </c>
      <c r="AI118">
        <v>408</v>
      </c>
      <c r="AJ118">
        <v>2.3489999771118164</v>
      </c>
      <c r="AK118">
        <v>420</v>
      </c>
      <c r="AL118">
        <v>2.5639998912811279</v>
      </c>
      <c r="AM118">
        <v>422</v>
      </c>
      <c r="AN118">
        <v>2.6170001029968262</v>
      </c>
      <c r="AO118">
        <v>404</v>
      </c>
      <c r="AP118">
        <v>2.621999979019165</v>
      </c>
    </row>
  </sheetData>
  <sortState xmlns:xlrd2="http://schemas.microsoft.com/office/spreadsheetml/2017/richdata2" ref="B2:AP118">
    <sortCondition ref="B2:B118"/>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10</vt:i4>
      </vt:variant>
    </vt:vector>
  </HeadingPairs>
  <TitlesOfParts>
    <vt:vector size="10" baseType="lpstr">
      <vt:lpstr>Table 2</vt:lpstr>
      <vt:lpstr>Table 3</vt:lpstr>
      <vt:lpstr>Figure 6</vt:lpstr>
      <vt:lpstr>Table 4</vt:lpstr>
      <vt:lpstr>Figure 7</vt:lpstr>
      <vt:lpstr>Table 5</vt:lpstr>
      <vt:lpstr>Table 6</vt:lpstr>
      <vt:lpstr>Table 7</vt:lpstr>
      <vt:lpstr>execs Table 2</vt:lpstr>
      <vt:lpstr>execs Table 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alejandra casado</dc:creator>
  <cp:lastModifiedBy>Alejandra Casado Ceballos</cp:lastModifiedBy>
  <dcterms:created xsi:type="dcterms:W3CDTF">2015-06-05T18:17:20Z</dcterms:created>
  <dcterms:modified xsi:type="dcterms:W3CDTF">2026-04-10T07:41:33Z</dcterms:modified>
</cp:coreProperties>
</file>