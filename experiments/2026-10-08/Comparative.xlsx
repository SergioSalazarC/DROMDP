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ocuments\GitHub\DROMDP\experiments\2026-10-08\"/>
    </mc:Choice>
  </mc:AlternateContent>
  <xr:revisionPtr revIDLastSave="0" documentId="13_ncr:1_{BA163AB4-E037-4511-9152-EEADB33486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4" i="1" l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46" i="1"/>
  <c r="B47" i="1"/>
  <c r="B48" i="1"/>
  <c r="B49" i="1"/>
  <c r="B50" i="1"/>
  <c r="B51" i="1"/>
  <c r="D51" i="1" s="1"/>
  <c r="B52" i="1"/>
  <c r="D52" i="1" s="1"/>
  <c r="B53" i="1"/>
  <c r="D53" i="1" s="1"/>
  <c r="B54" i="1"/>
  <c r="D54" i="1" s="1"/>
  <c r="B55" i="1"/>
  <c r="G55" i="1" s="1"/>
  <c r="B56" i="1"/>
  <c r="G56" i="1" s="1"/>
  <c r="B57" i="1"/>
  <c r="G57" i="1" s="1"/>
  <c r="B58" i="1"/>
  <c r="G58" i="1" s="1"/>
  <c r="B59" i="1"/>
  <c r="G59" i="1" s="1"/>
  <c r="B60" i="1"/>
  <c r="D60" i="1" s="1"/>
  <c r="B61" i="1"/>
  <c r="B62" i="1"/>
  <c r="B63" i="1"/>
  <c r="B64" i="1"/>
  <c r="B65" i="1"/>
  <c r="D65" i="1" s="1"/>
  <c r="B66" i="1"/>
  <c r="D66" i="1" s="1"/>
  <c r="B67" i="1"/>
  <c r="D67" i="1" s="1"/>
  <c r="B68" i="1"/>
  <c r="G68" i="1" s="1"/>
  <c r="B69" i="1"/>
  <c r="D69" i="1" s="1"/>
  <c r="B70" i="1"/>
  <c r="B71" i="1"/>
  <c r="G71" i="1" s="1"/>
  <c r="B72" i="1"/>
  <c r="G72" i="1" s="1"/>
  <c r="B73" i="1"/>
  <c r="G73" i="1" s="1"/>
  <c r="B74" i="1"/>
  <c r="G74" i="1" s="1"/>
  <c r="B75" i="1"/>
  <c r="B76" i="1"/>
  <c r="B77" i="1"/>
  <c r="B78" i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D47" i="1"/>
  <c r="D48" i="1"/>
  <c r="D49" i="1"/>
  <c r="D50" i="1"/>
  <c r="D61" i="1"/>
  <c r="D62" i="1"/>
  <c r="D63" i="1"/>
  <c r="D64" i="1"/>
  <c r="D75" i="1"/>
  <c r="D76" i="1"/>
  <c r="D77" i="1"/>
  <c r="D78" i="1"/>
  <c r="B46" i="1"/>
  <c r="G46" i="1" s="1"/>
  <c r="Q85" i="1"/>
  <c r="O85" i="1"/>
  <c r="N85" i="1"/>
  <c r="L85" i="1"/>
  <c r="U42" i="1"/>
  <c r="R42" i="1"/>
  <c r="O42" i="1"/>
  <c r="L42" i="1"/>
  <c r="I42" i="1"/>
  <c r="F42" i="1"/>
  <c r="C42" i="1"/>
  <c r="H85" i="1"/>
  <c r="F85" i="1"/>
  <c r="E85" i="1"/>
  <c r="C85" i="1"/>
  <c r="G81" i="1"/>
  <c r="G79" i="1"/>
  <c r="G78" i="1"/>
  <c r="G76" i="1"/>
  <c r="G75" i="1"/>
  <c r="G67" i="1"/>
  <c r="G65" i="1"/>
  <c r="G64" i="1"/>
  <c r="G63" i="1"/>
  <c r="G62" i="1"/>
  <c r="G61" i="1"/>
  <c r="G60" i="1"/>
  <c r="G52" i="1"/>
  <c r="G51" i="1"/>
  <c r="G50" i="1"/>
  <c r="G49" i="1"/>
  <c r="G48" i="1"/>
  <c r="G47" i="1"/>
  <c r="V41" i="1"/>
  <c r="S41" i="1"/>
  <c r="P41" i="1"/>
  <c r="M41" i="1"/>
  <c r="J41" i="1"/>
  <c r="G41" i="1"/>
  <c r="D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  <c r="Q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  <c r="E41" i="1"/>
  <c r="F41" i="1"/>
  <c r="H41" i="1"/>
  <c r="I41" i="1"/>
  <c r="K41" i="1"/>
  <c r="L41" i="1"/>
  <c r="N41" i="1"/>
  <c r="O41" i="1"/>
  <c r="R41" i="1"/>
  <c r="T41" i="1"/>
  <c r="U41" i="1"/>
  <c r="W41" i="1"/>
  <c r="C41" i="1"/>
  <c r="D57" i="1" l="1"/>
  <c r="D74" i="1"/>
  <c r="D73" i="1"/>
  <c r="D59" i="1"/>
  <c r="G83" i="1"/>
  <c r="D72" i="1"/>
  <c r="D58" i="1"/>
  <c r="G84" i="1"/>
  <c r="D71" i="1"/>
  <c r="G53" i="1"/>
  <c r="G69" i="1"/>
  <c r="D70" i="1"/>
  <c r="D56" i="1"/>
  <c r="G70" i="1"/>
  <c r="D55" i="1"/>
  <c r="D68" i="1"/>
  <c r="G80" i="1"/>
  <c r="G82" i="1"/>
  <c r="G77" i="1"/>
  <c r="D46" i="1"/>
  <c r="G54" i="1"/>
  <c r="G66" i="1"/>
  <c r="O86" i="1" l="1"/>
  <c r="G85" i="1"/>
  <c r="F86" i="1"/>
  <c r="C86" i="1"/>
  <c r="P85" i="1"/>
  <c r="M85" i="1"/>
  <c r="L86" i="1"/>
  <c r="D85" i="1"/>
</calcChain>
</file>

<file path=xl/sharedStrings.xml><?xml version="1.0" encoding="utf-8"?>
<sst xmlns="http://schemas.openxmlformats.org/spreadsheetml/2006/main" count="156" uniqueCount="50">
  <si>
    <t>Instance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</si>
  <si>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</si>
  <si>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</si>
  <si>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</si>
  <si>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</si>
  <si>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</si>
  <si>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</si>
  <si>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</si>
  <si>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</si>
  <si>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</si>
  <si>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</si>
  <si>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</si>
  <si>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</si>
  <si>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</si>
  <si>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</si>
  <si>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</si>
  <si>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</si>
  <si>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</si>
  <si>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</si>
  <si>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</si>
  <si>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</si>
  <si>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</si>
  <si>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</si>
  <si>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</si>
  <si>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</si>
  <si>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</si>
  <si>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</si>
  <si>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</si>
  <si>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</si>
  <si>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</si>
  <si>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</si>
  <si>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</si>
  <si>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</si>
  <si>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</si>
  <si>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</si>
  <si>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</si>
  <si>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</si>
  <si>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</si>
  <si>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</si>
  <si>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</si>
  <si>
    <t>DB</t>
  </si>
  <si>
    <t>HUBREL</t>
  </si>
  <si>
    <t>LabDown</t>
  </si>
  <si>
    <t>SOTA</t>
  </si>
  <si>
    <t>SPATIALCLUSTER</t>
  </si>
  <si>
    <t>UNIFRAND</t>
  </si>
  <si>
    <t>BEST</t>
  </si>
  <si>
    <t>dev</t>
  </si>
  <si>
    <t>t</t>
  </si>
  <si>
    <t>ALLr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</si>
</sst>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164" fontId="0" fillId="0" borderId="0" xfId="1" applyNumberFormat="1" applyFon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2" borderId="1" xfId="0" applyFill="1" applyBorder="1"/>
    <xf numFmtId="0" fontId="0" fillId="0" borderId="7" xfId="0" applyFill="1" applyBorder="1"/>
    <xf numFmtId="0" fontId="0" fillId="0" borderId="8" xfId="0" applyBorder="1"/>
    <xf numFmtId="164" fontId="0" fillId="0" borderId="7" xfId="0" applyNumberFormat="1" applyBorder="1"/>
    <xf numFmtId="0" fontId="0" fillId="0" borderId="1" xfId="0" applyBorder="1"/>
    <xf numFmtId="10" fontId="0" fillId="0" borderId="0" xfId="1" applyNumberFormat="1" applyFont="1" applyBorder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workbookViewId="0">
      <selection activeCell="L1" sqref="L1"/>
    </sheetView>
  </sheetViews>
  <sheetFormatPr baseColWidth="10" defaultColWidth="8.7265625" defaultRowHeight="14.5" x14ac:dyDescent="0.35"/>
  <cols>
    <col min="1" max="1" width="13.81640625" customWidth="1"/>
  </cols>
  <sheetData>
    <row r="1" spans="1:23" ht="15" thickBot="1" x14ac:dyDescent="0.4">
      <c r="A1" s="7" t="s">
        <v>0</v>
      </c>
      <c r="B1" s="8" t="s">
        <v>46</v>
      </c>
      <c r="C1" s="7" t="s">
        <v>40</v>
      </c>
      <c r="D1" s="9" t="s">
        <v>47</v>
      </c>
      <c r="E1" s="10" t="s">
        <v>48</v>
      </c>
      <c r="F1" s="7" t="s">
        <v>41</v>
      </c>
      <c r="G1" s="9" t="s">
        <v>47</v>
      </c>
      <c r="H1" s="10" t="s">
        <v>48</v>
      </c>
      <c r="I1" s="7" t="s">
        <v>42</v>
      </c>
      <c r="J1" s="9" t="s">
        <v>47</v>
      </c>
      <c r="K1" s="10" t="s">
        <v>48</v>
      </c>
      <c r="L1" s="7" t="s">
        <v>49</v>
      </c>
      <c r="M1" s="9" t="s">
        <v>47</v>
      </c>
      <c r="N1" s="10" t="s">
        <v>48</v>
      </c>
      <c r="O1" s="7" t="s">
        <v>43</v>
      </c>
      <c r="P1" s="9" t="s">
        <v>47</v>
      </c>
      <c r="Q1" s="10" t="s">
        <v>48</v>
      </c>
      <c r="R1" s="7" t="s">
        <v>44</v>
      </c>
      <c r="S1" s="9" t="s">
        <v>47</v>
      </c>
      <c r="T1" s="10" t="s">
        <v>48</v>
      </c>
      <c r="U1" s="7" t="s">
        <v>45</v>
      </c>
      <c r="V1" s="9" t="s">
        <v>47</v>
      </c>
      <c r="W1" s="10" t="s">
        <v>48</v>
      </c>
    </row>
    <row r="2" spans="1:23" x14ac:dyDescent="0.35">
      <c r="A2" s="1" t="s">
        <v>1</v>
      </c>
      <c r="B2" s="5">
        <f>MIN(C2,F2,I2,L2,O2,R2,U2)</f>
        <v>124</v>
      </c>
      <c r="C2" s="3">
        <v>127</v>
      </c>
      <c r="D2" s="2">
        <f>(C2-$B2)/$B2</f>
        <v>2.4193548387096774E-2</v>
      </c>
      <c r="E2" s="4">
        <v>0.15600000321865082</v>
      </c>
      <c r="F2" s="3">
        <v>125</v>
      </c>
      <c r="G2" s="2">
        <f>(F2-$B2)/$B2</f>
        <v>8.0645161290322578E-3</v>
      </c>
      <c r="H2" s="4">
        <v>0.11900000274181366</v>
      </c>
      <c r="I2" s="3">
        <v>126</v>
      </c>
      <c r="J2" s="2">
        <f>(I2-$B2)/$B2</f>
        <v>1.6129032258064516E-2</v>
      </c>
      <c r="K2" s="4">
        <v>4.8999998718500137E-2</v>
      </c>
      <c r="L2" s="3">
        <v>126</v>
      </c>
      <c r="M2" s="2">
        <f>(L2-$B2)/$B2</f>
        <v>1.6129032258064516E-2</v>
      </c>
      <c r="N2" s="4">
        <v>7.1000002324581146E-2</v>
      </c>
      <c r="O2" s="3">
        <v>125</v>
      </c>
      <c r="P2" s="2">
        <f>(O2-$B2)/$B2</f>
        <v>8.0645161290322578E-3</v>
      </c>
      <c r="Q2" s="4">
        <v>0.36800000100000002</v>
      </c>
      <c r="R2" s="3">
        <v>126</v>
      </c>
      <c r="S2" s="2">
        <f>(R2-$B2)/$B2</f>
        <v>1.6129032258064516E-2</v>
      </c>
      <c r="T2" s="4">
        <v>0.1120000034570694</v>
      </c>
      <c r="U2" s="3">
        <v>124</v>
      </c>
      <c r="V2" s="2">
        <f>(U2-$B2)/$B2</f>
        <v>0</v>
      </c>
      <c r="W2" s="4">
        <v>0.2460000067949295</v>
      </c>
    </row>
    <row r="3" spans="1:23" x14ac:dyDescent="0.35">
      <c r="A3" s="1" t="s">
        <v>2</v>
      </c>
      <c r="B3" s="5">
        <f>MIN(C3,F3,I3,L3,O3,R3,U3)</f>
        <v>160</v>
      </c>
      <c r="C3" s="3">
        <v>174</v>
      </c>
      <c r="D3" s="2">
        <f t="shared" ref="D3:D40" si="0">(C3-$B3)/$B3</f>
        <v>8.7499999999999994E-2</v>
      </c>
      <c r="E3" s="4">
        <v>0.35899999737739563</v>
      </c>
      <c r="F3" s="3">
        <v>161</v>
      </c>
      <c r="G3" s="2">
        <f t="shared" ref="G3:G40" si="1">(F3-$B3)/$B3</f>
        <v>6.2500000000000003E-3</v>
      </c>
      <c r="H3" s="4">
        <v>0.37799999117851257</v>
      </c>
      <c r="I3" s="3">
        <v>181</v>
      </c>
      <c r="J3" s="2">
        <f t="shared" ref="J3:J40" si="2">(I3-$B3)/$B3</f>
        <v>0.13125000000000001</v>
      </c>
      <c r="K3" s="4">
        <v>8.1000000238418579E-2</v>
      </c>
      <c r="L3" s="3">
        <v>166</v>
      </c>
      <c r="M3" s="2">
        <f t="shared" ref="M3:M40" si="3">(L3-$B3)/$B3</f>
        <v>3.7499999999999999E-2</v>
      </c>
      <c r="N3" s="4">
        <v>0.3190000057220459</v>
      </c>
      <c r="O3" s="3">
        <v>160</v>
      </c>
      <c r="P3" s="2">
        <f t="shared" ref="P3:P40" si="4">(O3-$B3)/$B3</f>
        <v>0</v>
      </c>
      <c r="Q3" s="4">
        <v>0.61500001000000004</v>
      </c>
      <c r="R3" s="3">
        <v>168</v>
      </c>
      <c r="S3" s="2">
        <f t="shared" ref="S3:S40" si="5">(R3-$B3)/$B3</f>
        <v>0.05</v>
      </c>
      <c r="T3" s="4">
        <v>0.19099999964237213</v>
      </c>
      <c r="U3" s="3">
        <v>162</v>
      </c>
      <c r="V3" s="2">
        <f t="shared" ref="V3:V40" si="6">(U3-$B3)/$B3</f>
        <v>1.2500000000000001E-2</v>
      </c>
      <c r="W3" s="4">
        <v>0.47200000286102295</v>
      </c>
    </row>
    <row r="4" spans="1:23" x14ac:dyDescent="0.35">
      <c r="A4" s="1" t="s">
        <v>3</v>
      </c>
      <c r="B4" s="5">
        <f>MIN(C4,F4,I4,L4,O4,R4,U4)</f>
        <v>297</v>
      </c>
      <c r="C4" s="3">
        <v>314</v>
      </c>
      <c r="D4" s="2">
        <f t="shared" si="0"/>
        <v>5.7239057239057242E-2</v>
      </c>
      <c r="E4" s="4">
        <v>0.86699998378753662</v>
      </c>
      <c r="F4" s="3">
        <v>302</v>
      </c>
      <c r="G4" s="2">
        <f t="shared" si="1"/>
        <v>1.6835016835016835E-2</v>
      </c>
      <c r="H4" s="4">
        <v>1.2130000591278076</v>
      </c>
      <c r="I4" s="3">
        <v>317</v>
      </c>
      <c r="J4" s="2">
        <f t="shared" si="2"/>
        <v>6.7340067340067339E-2</v>
      </c>
      <c r="K4" s="4">
        <v>0.22599999606609344</v>
      </c>
      <c r="L4" s="3">
        <v>299</v>
      </c>
      <c r="M4" s="2">
        <f t="shared" si="3"/>
        <v>6.7340067340067337E-3</v>
      </c>
      <c r="N4" s="4">
        <v>1.093999981880188</v>
      </c>
      <c r="O4" s="3">
        <v>298</v>
      </c>
      <c r="P4" s="2">
        <f t="shared" si="4"/>
        <v>3.3670033670033669E-3</v>
      </c>
      <c r="Q4" s="4">
        <v>1.9060000180000001</v>
      </c>
      <c r="R4" s="3">
        <v>297</v>
      </c>
      <c r="S4" s="2">
        <f t="shared" si="5"/>
        <v>0</v>
      </c>
      <c r="T4" s="4">
        <v>1.4939999580383301</v>
      </c>
      <c r="U4" s="3">
        <v>311</v>
      </c>
      <c r="V4" s="2">
        <f t="shared" si="6"/>
        <v>4.7138047138047139E-2</v>
      </c>
      <c r="W4" s="4">
        <v>0.76700001955032349</v>
      </c>
    </row>
    <row r="5" spans="1:23" x14ac:dyDescent="0.35">
      <c r="A5" s="1" t="s">
        <v>4</v>
      </c>
      <c r="B5" s="5">
        <f>MIN(C5,F5,I5,L5,O5,R5,U5)</f>
        <v>45</v>
      </c>
      <c r="C5" s="3">
        <v>45</v>
      </c>
      <c r="D5" s="2">
        <f t="shared" si="0"/>
        <v>0</v>
      </c>
      <c r="E5" s="4">
        <v>3.9999999105930328E-2</v>
      </c>
      <c r="F5" s="3">
        <v>45</v>
      </c>
      <c r="G5" s="2">
        <f t="shared" si="1"/>
        <v>0</v>
      </c>
      <c r="H5" s="4">
        <v>1.7999999225139618E-2</v>
      </c>
      <c r="I5" s="3">
        <v>47</v>
      </c>
      <c r="J5" s="2">
        <f t="shared" si="2"/>
        <v>4.4444444444444446E-2</v>
      </c>
      <c r="K5" s="4">
        <v>1.4000000432133675E-2</v>
      </c>
      <c r="L5" s="3">
        <v>45</v>
      </c>
      <c r="M5" s="2">
        <f t="shared" si="3"/>
        <v>0</v>
      </c>
      <c r="N5" s="4">
        <v>2.4000000208616257E-2</v>
      </c>
      <c r="O5" s="3">
        <v>45</v>
      </c>
      <c r="P5" s="2">
        <f t="shared" si="4"/>
        <v>0</v>
      </c>
      <c r="Q5" s="4">
        <v>3.4000002000000001E-2</v>
      </c>
      <c r="R5" s="3">
        <v>45</v>
      </c>
      <c r="S5" s="2">
        <f t="shared" si="5"/>
        <v>0</v>
      </c>
      <c r="T5" s="4">
        <v>2.4000000208616257E-2</v>
      </c>
      <c r="U5" s="3">
        <v>45</v>
      </c>
      <c r="V5" s="2">
        <f t="shared" si="6"/>
        <v>0</v>
      </c>
      <c r="W5" s="4">
        <v>2.500000037252903E-2</v>
      </c>
    </row>
    <row r="6" spans="1:23" x14ac:dyDescent="0.35">
      <c r="A6" s="1" t="s">
        <v>5</v>
      </c>
      <c r="B6" s="5">
        <f>MIN(C6,F6,I6,L6,O6,R6,U6)</f>
        <v>36</v>
      </c>
      <c r="C6" s="3">
        <v>36</v>
      </c>
      <c r="D6" s="2">
        <f t="shared" si="0"/>
        <v>0</v>
      </c>
      <c r="E6" s="4">
        <v>4.0000001899898052E-3</v>
      </c>
      <c r="F6" s="3">
        <v>36</v>
      </c>
      <c r="G6" s="2">
        <f t="shared" si="1"/>
        <v>0</v>
      </c>
      <c r="H6" s="4">
        <v>4.0000001899898052E-3</v>
      </c>
      <c r="I6" s="3">
        <v>36</v>
      </c>
      <c r="J6" s="2">
        <f t="shared" si="2"/>
        <v>0</v>
      </c>
      <c r="K6" s="4">
        <v>2.0000000949949026E-3</v>
      </c>
      <c r="L6" s="3">
        <v>36</v>
      </c>
      <c r="M6" s="2">
        <f t="shared" si="3"/>
        <v>0</v>
      </c>
      <c r="N6" s="4">
        <v>2.0000000949949026E-3</v>
      </c>
      <c r="O6" s="3">
        <v>36</v>
      </c>
      <c r="P6" s="2">
        <f t="shared" si="4"/>
        <v>0</v>
      </c>
      <c r="Q6" s="4">
        <v>2E-3</v>
      </c>
      <c r="R6" s="3">
        <v>36</v>
      </c>
      <c r="S6" s="2">
        <f t="shared" si="5"/>
        <v>0</v>
      </c>
      <c r="T6" s="4">
        <v>2.0000000949949026E-3</v>
      </c>
      <c r="U6" s="3">
        <v>36</v>
      </c>
      <c r="V6" s="2">
        <f t="shared" si="6"/>
        <v>0</v>
      </c>
      <c r="W6" s="4">
        <v>2.0000000949949026E-3</v>
      </c>
    </row>
    <row r="7" spans="1:23" x14ac:dyDescent="0.35">
      <c r="A7" s="1" t="s">
        <v>6</v>
      </c>
      <c r="B7" s="5">
        <f>MIN(C7,F7,I7,L7,O7,R7,U7)</f>
        <v>42</v>
      </c>
      <c r="C7" s="3">
        <v>42</v>
      </c>
      <c r="D7" s="2">
        <f t="shared" si="0"/>
        <v>0</v>
      </c>
      <c r="E7" s="4">
        <v>4.0000001899898052E-3</v>
      </c>
      <c r="F7" s="3">
        <v>42</v>
      </c>
      <c r="G7" s="2">
        <f t="shared" si="1"/>
        <v>0</v>
      </c>
      <c r="H7" s="4">
        <v>3.0000000260770321E-3</v>
      </c>
      <c r="I7" s="3">
        <v>42</v>
      </c>
      <c r="J7" s="2">
        <f t="shared" si="2"/>
        <v>0</v>
      </c>
      <c r="K7" s="4">
        <v>2.0000000949949026E-3</v>
      </c>
      <c r="L7" s="3">
        <v>42</v>
      </c>
      <c r="M7" s="2">
        <f t="shared" si="3"/>
        <v>0</v>
      </c>
      <c r="N7" s="4">
        <v>3.0000000260770321E-3</v>
      </c>
      <c r="O7" s="3">
        <v>42</v>
      </c>
      <c r="P7" s="2">
        <f t="shared" si="4"/>
        <v>0</v>
      </c>
      <c r="Q7" s="4">
        <v>5.0000000000000001E-3</v>
      </c>
      <c r="R7" s="3">
        <v>42</v>
      </c>
      <c r="S7" s="2">
        <f t="shared" si="5"/>
        <v>0</v>
      </c>
      <c r="T7" s="4">
        <v>4.0000001899898052E-3</v>
      </c>
      <c r="U7" s="3">
        <v>42</v>
      </c>
      <c r="V7" s="2">
        <f t="shared" si="6"/>
        <v>0</v>
      </c>
      <c r="W7" s="4">
        <v>3.0000000260770321E-3</v>
      </c>
    </row>
    <row r="8" spans="1:23" x14ac:dyDescent="0.35">
      <c r="A8" s="1" t="s">
        <v>7</v>
      </c>
      <c r="B8" s="5">
        <f>MIN(C8,F8,I8,L8,O8,R8,U8)</f>
        <v>91</v>
      </c>
      <c r="C8" s="3">
        <v>91</v>
      </c>
      <c r="D8" s="2">
        <f t="shared" si="0"/>
        <v>0</v>
      </c>
      <c r="E8" s="4">
        <v>3.4000001847743988E-2</v>
      </c>
      <c r="F8" s="3">
        <v>91</v>
      </c>
      <c r="G8" s="2">
        <f t="shared" si="1"/>
        <v>0</v>
      </c>
      <c r="H8" s="4">
        <v>1.7000000923871994E-2</v>
      </c>
      <c r="I8" s="3">
        <v>91</v>
      </c>
      <c r="J8" s="2">
        <f t="shared" si="2"/>
        <v>0</v>
      </c>
      <c r="K8" s="4">
        <v>1.4999999664723873E-2</v>
      </c>
      <c r="L8" s="3">
        <v>91</v>
      </c>
      <c r="M8" s="2">
        <f t="shared" si="3"/>
        <v>0</v>
      </c>
      <c r="N8" s="4">
        <v>1.8999999389052391E-2</v>
      </c>
      <c r="O8" s="3">
        <v>91</v>
      </c>
      <c r="P8" s="2">
        <f t="shared" si="4"/>
        <v>0</v>
      </c>
      <c r="Q8" s="4">
        <v>3.0999999E-2</v>
      </c>
      <c r="R8" s="3">
        <v>91</v>
      </c>
      <c r="S8" s="2">
        <f t="shared" si="5"/>
        <v>0</v>
      </c>
      <c r="T8" s="4">
        <v>1.7999999225139618E-2</v>
      </c>
      <c r="U8" s="3">
        <v>91</v>
      </c>
      <c r="V8" s="2">
        <f t="shared" si="6"/>
        <v>0</v>
      </c>
      <c r="W8" s="4">
        <v>1.7999999225139618E-2</v>
      </c>
    </row>
    <row r="9" spans="1:23" x14ac:dyDescent="0.35">
      <c r="A9" s="1" t="s">
        <v>8</v>
      </c>
      <c r="B9" s="5">
        <f>MIN(C9,F9,I9,L9,O9,R9,U9)</f>
        <v>180</v>
      </c>
      <c r="C9" s="3">
        <v>184</v>
      </c>
      <c r="D9" s="2">
        <f t="shared" si="0"/>
        <v>2.2222222222222223E-2</v>
      </c>
      <c r="E9" s="4">
        <v>0.52999997138977051</v>
      </c>
      <c r="F9" s="3">
        <v>183</v>
      </c>
      <c r="G9" s="2">
        <f t="shared" si="1"/>
        <v>1.6666666666666666E-2</v>
      </c>
      <c r="H9" s="4">
        <v>0.33500000834465027</v>
      </c>
      <c r="I9" s="3">
        <v>184</v>
      </c>
      <c r="J9" s="2">
        <f t="shared" si="2"/>
        <v>2.2222222222222223E-2</v>
      </c>
      <c r="K9" s="4">
        <v>0.23399999737739563</v>
      </c>
      <c r="L9" s="3">
        <v>181</v>
      </c>
      <c r="M9" s="2">
        <f t="shared" si="3"/>
        <v>5.5555555555555558E-3</v>
      </c>
      <c r="N9" s="4">
        <v>0.55199998617172241</v>
      </c>
      <c r="O9" s="3">
        <v>180</v>
      </c>
      <c r="P9" s="2">
        <f t="shared" si="4"/>
        <v>0</v>
      </c>
      <c r="Q9" s="4">
        <v>0.68599999</v>
      </c>
      <c r="R9" s="3">
        <v>181</v>
      </c>
      <c r="S9" s="2">
        <f t="shared" si="5"/>
        <v>5.5555555555555558E-3</v>
      </c>
      <c r="T9" s="4">
        <v>0.43299999833106995</v>
      </c>
      <c r="U9" s="3">
        <v>181</v>
      </c>
      <c r="V9" s="2">
        <f t="shared" si="6"/>
        <v>5.5555555555555558E-3</v>
      </c>
      <c r="W9" s="4">
        <v>0.43700000643730164</v>
      </c>
    </row>
    <row r="10" spans="1:23" x14ac:dyDescent="0.35">
      <c r="A10" s="1" t="s">
        <v>9</v>
      </c>
      <c r="B10" s="5">
        <f>MIN(C10,F10,I10,L10,O10,R10,U10)</f>
        <v>369</v>
      </c>
      <c r="C10" s="3">
        <v>373</v>
      </c>
      <c r="D10" s="2">
        <f t="shared" si="0"/>
        <v>1.0840108401084011E-2</v>
      </c>
      <c r="E10" s="4">
        <v>0.75199997425079346</v>
      </c>
      <c r="F10" s="3">
        <v>371</v>
      </c>
      <c r="G10" s="2">
        <f t="shared" si="1"/>
        <v>5.4200542005420054E-3</v>
      </c>
      <c r="H10" s="4">
        <v>0.335999995470047</v>
      </c>
      <c r="I10" s="3">
        <v>376</v>
      </c>
      <c r="J10" s="2">
        <f t="shared" si="2"/>
        <v>1.8970189701897018E-2</v>
      </c>
      <c r="K10" s="4">
        <v>0.17200000584125519</v>
      </c>
      <c r="L10" s="3">
        <v>370</v>
      </c>
      <c r="M10" s="2">
        <f t="shared" si="3"/>
        <v>2.7100271002710027E-3</v>
      </c>
      <c r="N10" s="4">
        <v>0.32499998807907104</v>
      </c>
      <c r="O10" s="3">
        <v>369</v>
      </c>
      <c r="P10" s="2">
        <f t="shared" si="4"/>
        <v>0</v>
      </c>
      <c r="Q10" s="4">
        <v>0.76899999399999996</v>
      </c>
      <c r="R10" s="3">
        <v>372</v>
      </c>
      <c r="S10" s="2">
        <f t="shared" si="5"/>
        <v>8.130081300813009E-3</v>
      </c>
      <c r="T10" s="4">
        <v>0.28999999165534973</v>
      </c>
      <c r="U10" s="3">
        <v>371</v>
      </c>
      <c r="V10" s="2">
        <f t="shared" si="6"/>
        <v>5.4200542005420054E-3</v>
      </c>
      <c r="W10" s="4">
        <v>0.26199999451637268</v>
      </c>
    </row>
    <row r="11" spans="1:23" x14ac:dyDescent="0.35">
      <c r="A11" s="1" t="s">
        <v>10</v>
      </c>
      <c r="B11" s="5">
        <f>MIN(C11,F11,I11,L11,O11,R11,U11)</f>
        <v>18</v>
      </c>
      <c r="C11" s="3">
        <v>18</v>
      </c>
      <c r="D11" s="2">
        <f t="shared" si="0"/>
        <v>0</v>
      </c>
      <c r="E11" s="4">
        <v>3.7999998778104782E-2</v>
      </c>
      <c r="F11" s="3">
        <v>18</v>
      </c>
      <c r="G11" s="2">
        <f t="shared" si="1"/>
        <v>0</v>
      </c>
      <c r="H11" s="4">
        <v>2.9999999329447746E-2</v>
      </c>
      <c r="I11" s="3">
        <v>20</v>
      </c>
      <c r="J11" s="2">
        <f t="shared" si="2"/>
        <v>0.1111111111111111</v>
      </c>
      <c r="K11" s="4">
        <v>9.9999997764825821E-3</v>
      </c>
      <c r="L11" s="3">
        <v>18</v>
      </c>
      <c r="M11" s="2">
        <f t="shared" si="3"/>
        <v>0</v>
      </c>
      <c r="N11" s="4">
        <v>3.7000000476837158E-2</v>
      </c>
      <c r="O11" s="3">
        <v>18</v>
      </c>
      <c r="P11" s="2">
        <f t="shared" si="4"/>
        <v>0</v>
      </c>
      <c r="Q11" s="4">
        <v>2.1999999999999999E-2</v>
      </c>
      <c r="R11" s="3">
        <v>18</v>
      </c>
      <c r="S11" s="2">
        <f t="shared" si="5"/>
        <v>0</v>
      </c>
      <c r="T11" s="4">
        <v>3.5999998450279236E-2</v>
      </c>
      <c r="U11" s="3">
        <v>18</v>
      </c>
      <c r="V11" s="2">
        <f t="shared" si="6"/>
        <v>0</v>
      </c>
      <c r="W11" s="4">
        <v>3.5000000149011612E-2</v>
      </c>
    </row>
    <row r="12" spans="1:23" x14ac:dyDescent="0.35">
      <c r="A12" s="1" t="s">
        <v>11</v>
      </c>
      <c r="B12" s="5">
        <f>MIN(C12,F12,I12,L12,O12,R12,U12)</f>
        <v>36</v>
      </c>
      <c r="C12" s="3">
        <v>36</v>
      </c>
      <c r="D12" s="2">
        <f t="shared" si="0"/>
        <v>0</v>
      </c>
      <c r="E12" s="4">
        <v>2.7000000700354576E-2</v>
      </c>
      <c r="F12" s="3">
        <v>36</v>
      </c>
      <c r="G12" s="2">
        <f t="shared" si="1"/>
        <v>0</v>
      </c>
      <c r="H12" s="4">
        <v>2.8999999165534973E-2</v>
      </c>
      <c r="I12" s="3">
        <v>39</v>
      </c>
      <c r="J12" s="2">
        <f t="shared" si="2"/>
        <v>8.3333333333333329E-2</v>
      </c>
      <c r="K12" s="4">
        <v>3.9000000804662704E-2</v>
      </c>
      <c r="L12" s="3">
        <v>36</v>
      </c>
      <c r="M12" s="2">
        <f t="shared" si="3"/>
        <v>0</v>
      </c>
      <c r="N12" s="4">
        <v>2.7000000700354576E-2</v>
      </c>
      <c r="O12" s="3">
        <v>36</v>
      </c>
      <c r="P12" s="2">
        <f t="shared" si="4"/>
        <v>0</v>
      </c>
      <c r="Q12" s="4">
        <v>3.5000000000000003E-2</v>
      </c>
      <c r="R12" s="3">
        <v>36</v>
      </c>
      <c r="S12" s="2">
        <f t="shared" si="5"/>
        <v>0</v>
      </c>
      <c r="T12" s="4">
        <v>3.7999998778104782E-2</v>
      </c>
      <c r="U12" s="3">
        <v>36</v>
      </c>
      <c r="V12" s="2">
        <f t="shared" si="6"/>
        <v>0</v>
      </c>
      <c r="W12" s="4">
        <v>2.6000000536441803E-2</v>
      </c>
    </row>
    <row r="13" spans="1:23" x14ac:dyDescent="0.35">
      <c r="A13" s="1" t="s">
        <v>12</v>
      </c>
      <c r="B13" s="5">
        <f>MIN(C13,F13,I13,L13,O13,R13,U13)</f>
        <v>57</v>
      </c>
      <c r="C13" s="3">
        <v>57</v>
      </c>
      <c r="D13" s="2">
        <f t="shared" si="0"/>
        <v>0</v>
      </c>
      <c r="E13" s="4">
        <v>9.3999996781349182E-2</v>
      </c>
      <c r="F13" s="3">
        <v>57</v>
      </c>
      <c r="G13" s="2">
        <f t="shared" si="1"/>
        <v>0</v>
      </c>
      <c r="H13" s="4">
        <v>7.9999998211860657E-2</v>
      </c>
      <c r="I13" s="3">
        <v>68</v>
      </c>
      <c r="J13" s="2">
        <f t="shared" si="2"/>
        <v>0.19298245614035087</v>
      </c>
      <c r="K13" s="4">
        <v>5.0999999046325684E-2</v>
      </c>
      <c r="L13" s="3">
        <v>57</v>
      </c>
      <c r="M13" s="2">
        <f t="shared" si="3"/>
        <v>0</v>
      </c>
      <c r="N13" s="4">
        <v>8.6000002920627594E-2</v>
      </c>
      <c r="O13" s="3">
        <v>57</v>
      </c>
      <c r="P13" s="2">
        <f t="shared" si="4"/>
        <v>0</v>
      </c>
      <c r="Q13" s="4">
        <v>0.105999999</v>
      </c>
      <c r="R13" s="3">
        <v>57</v>
      </c>
      <c r="S13" s="2">
        <f t="shared" si="5"/>
        <v>0</v>
      </c>
      <c r="T13" s="4">
        <v>0.10899999737739563</v>
      </c>
      <c r="U13" s="3">
        <v>57</v>
      </c>
      <c r="V13" s="2">
        <f t="shared" si="6"/>
        <v>0</v>
      </c>
      <c r="W13" s="4">
        <v>9.0999998152256012E-2</v>
      </c>
    </row>
    <row r="14" spans="1:23" x14ac:dyDescent="0.35">
      <c r="A14" s="1" t="s">
        <v>13</v>
      </c>
      <c r="B14" s="5">
        <f>MIN(C14,F14,I14,L14,O14,R14,U14)</f>
        <v>66</v>
      </c>
      <c r="C14" s="3">
        <v>69</v>
      </c>
      <c r="D14" s="2">
        <f t="shared" si="0"/>
        <v>4.5454545454545456E-2</v>
      </c>
      <c r="E14" s="4">
        <v>6.8000003695487976E-2</v>
      </c>
      <c r="F14" s="3">
        <v>69</v>
      </c>
      <c r="G14" s="2">
        <f t="shared" si="1"/>
        <v>4.5454545454545456E-2</v>
      </c>
      <c r="H14" s="4">
        <v>7.0000000298023224E-2</v>
      </c>
      <c r="I14" s="3">
        <v>75</v>
      </c>
      <c r="J14" s="2">
        <f t="shared" si="2"/>
        <v>0.13636363636363635</v>
      </c>
      <c r="K14" s="4">
        <v>4.1000001132488251E-2</v>
      </c>
      <c r="L14" s="3">
        <v>69</v>
      </c>
      <c r="M14" s="2">
        <f t="shared" si="3"/>
        <v>4.5454545454545456E-2</v>
      </c>
      <c r="N14" s="4">
        <v>7.5000002980232239E-2</v>
      </c>
      <c r="O14" s="3">
        <v>66</v>
      </c>
      <c r="P14" s="2">
        <f t="shared" si="4"/>
        <v>0</v>
      </c>
      <c r="Q14" s="4">
        <v>0.101000004</v>
      </c>
      <c r="R14" s="3">
        <v>69</v>
      </c>
      <c r="S14" s="2">
        <f t="shared" si="5"/>
        <v>4.5454545454545456E-2</v>
      </c>
      <c r="T14" s="4">
        <v>7.2999998927116394E-2</v>
      </c>
      <c r="U14" s="3">
        <v>69</v>
      </c>
      <c r="V14" s="2">
        <f t="shared" si="6"/>
        <v>4.5454545454545456E-2</v>
      </c>
      <c r="W14" s="4">
        <v>6.5999999642372131E-2</v>
      </c>
    </row>
    <row r="15" spans="1:23" x14ac:dyDescent="0.35">
      <c r="A15" s="1" t="s">
        <v>14</v>
      </c>
      <c r="B15" s="5">
        <f>MIN(C15,F15,I15,L15,O15,R15,U15)</f>
        <v>12</v>
      </c>
      <c r="C15" s="3">
        <v>12</v>
      </c>
      <c r="D15" s="2">
        <f t="shared" si="0"/>
        <v>0</v>
      </c>
      <c r="E15" s="4">
        <v>3.0000000260770321E-3</v>
      </c>
      <c r="F15" s="3">
        <v>12</v>
      </c>
      <c r="G15" s="2">
        <f t="shared" si="1"/>
        <v>0</v>
      </c>
      <c r="H15" s="4">
        <v>6.0000000521540642E-3</v>
      </c>
      <c r="I15" s="3">
        <v>12</v>
      </c>
      <c r="J15" s="2">
        <f t="shared" si="2"/>
        <v>0</v>
      </c>
      <c r="K15" s="4">
        <v>2.0000000949949026E-3</v>
      </c>
      <c r="L15" s="3">
        <v>12</v>
      </c>
      <c r="M15" s="2">
        <f t="shared" si="3"/>
        <v>0</v>
      </c>
      <c r="N15" s="4">
        <v>4.0000001899898052E-3</v>
      </c>
      <c r="O15" s="3">
        <v>12</v>
      </c>
      <c r="P15" s="2">
        <f t="shared" si="4"/>
        <v>0</v>
      </c>
      <c r="Q15" s="4">
        <v>7.0000000000000001E-3</v>
      </c>
      <c r="R15" s="3">
        <v>12</v>
      </c>
      <c r="S15" s="2">
        <f t="shared" si="5"/>
        <v>0</v>
      </c>
      <c r="T15" s="4">
        <v>4.999999888241291E-3</v>
      </c>
      <c r="U15" s="3">
        <v>12</v>
      </c>
      <c r="V15" s="2">
        <f t="shared" si="6"/>
        <v>0</v>
      </c>
      <c r="W15" s="4">
        <v>3.0000000260770321E-3</v>
      </c>
    </row>
    <row r="16" spans="1:23" x14ac:dyDescent="0.35">
      <c r="A16" s="1" t="s">
        <v>15</v>
      </c>
      <c r="B16" s="5">
        <f>MIN(C16,F16,I16,L16,O16,R16,U16)</f>
        <v>18</v>
      </c>
      <c r="C16" s="3">
        <v>18</v>
      </c>
      <c r="D16" s="2">
        <f t="shared" si="0"/>
        <v>0</v>
      </c>
      <c r="E16" s="4">
        <v>1.4000000432133675E-2</v>
      </c>
      <c r="F16" s="3">
        <v>18</v>
      </c>
      <c r="G16" s="2">
        <f t="shared" si="1"/>
        <v>0</v>
      </c>
      <c r="H16" s="4">
        <v>1.2000000104308128E-2</v>
      </c>
      <c r="I16" s="3">
        <v>18</v>
      </c>
      <c r="J16" s="2">
        <f t="shared" si="2"/>
        <v>0</v>
      </c>
      <c r="K16" s="4">
        <v>1.2000000104308128E-2</v>
      </c>
      <c r="L16" s="3">
        <v>18</v>
      </c>
      <c r="M16" s="2">
        <f t="shared" si="3"/>
        <v>0</v>
      </c>
      <c r="N16" s="4">
        <v>1.2000000104308128E-2</v>
      </c>
      <c r="O16" s="3">
        <v>18</v>
      </c>
      <c r="P16" s="2">
        <f t="shared" si="4"/>
        <v>0</v>
      </c>
      <c r="Q16" s="4">
        <v>1.6000001E-2</v>
      </c>
      <c r="R16" s="3">
        <v>18</v>
      </c>
      <c r="S16" s="2">
        <f t="shared" si="5"/>
        <v>0</v>
      </c>
      <c r="T16" s="4">
        <v>1.4999999664723873E-2</v>
      </c>
      <c r="U16" s="3">
        <v>18</v>
      </c>
      <c r="V16" s="2">
        <f t="shared" si="6"/>
        <v>0</v>
      </c>
      <c r="W16" s="4">
        <v>1.3000000268220901E-2</v>
      </c>
    </row>
    <row r="17" spans="1:23" x14ac:dyDescent="0.35">
      <c r="A17" s="1" t="s">
        <v>16</v>
      </c>
      <c r="B17" s="5">
        <f>MIN(C17,F17,I17,L17,O17,R17,U17)</f>
        <v>45</v>
      </c>
      <c r="C17" s="3">
        <v>45</v>
      </c>
      <c r="D17" s="2">
        <f t="shared" si="0"/>
        <v>0</v>
      </c>
      <c r="E17" s="4">
        <v>2.4000000208616257E-2</v>
      </c>
      <c r="F17" s="3">
        <v>46</v>
      </c>
      <c r="G17" s="2">
        <f t="shared" si="1"/>
        <v>2.2222222222222223E-2</v>
      </c>
      <c r="H17" s="4">
        <v>1.7000000923871994E-2</v>
      </c>
      <c r="I17" s="3">
        <v>47</v>
      </c>
      <c r="J17" s="2">
        <f t="shared" si="2"/>
        <v>4.4444444444444446E-2</v>
      </c>
      <c r="K17" s="4">
        <v>1.2000000104308128E-2</v>
      </c>
      <c r="L17" s="3">
        <v>45</v>
      </c>
      <c r="M17" s="2">
        <f t="shared" si="3"/>
        <v>0</v>
      </c>
      <c r="N17" s="4">
        <v>1.3000000268220901E-2</v>
      </c>
      <c r="O17" s="3">
        <v>46</v>
      </c>
      <c r="P17" s="2">
        <f t="shared" si="4"/>
        <v>2.2222222222222223E-2</v>
      </c>
      <c r="Q17" s="4">
        <v>1.6000001E-2</v>
      </c>
      <c r="R17" s="3">
        <v>45</v>
      </c>
      <c r="S17" s="2">
        <f t="shared" si="5"/>
        <v>0</v>
      </c>
      <c r="T17" s="4">
        <v>2.199999988079071E-2</v>
      </c>
      <c r="U17" s="3">
        <v>45</v>
      </c>
      <c r="V17" s="2">
        <f t="shared" si="6"/>
        <v>0</v>
      </c>
      <c r="W17" s="4">
        <v>1.7000000923871994E-2</v>
      </c>
    </row>
    <row r="18" spans="1:23" x14ac:dyDescent="0.35">
      <c r="A18" s="1" t="s">
        <v>17</v>
      </c>
      <c r="B18" s="5">
        <f>MIN(C18,F18,I18,L18,O18,R18,U18)</f>
        <v>23</v>
      </c>
      <c r="C18" s="3">
        <v>23</v>
      </c>
      <c r="D18" s="2">
        <f t="shared" si="0"/>
        <v>0</v>
      </c>
      <c r="E18" s="4">
        <v>2.7000000700354576E-2</v>
      </c>
      <c r="F18" s="3">
        <v>23</v>
      </c>
      <c r="G18" s="2">
        <f t="shared" si="1"/>
        <v>0</v>
      </c>
      <c r="H18" s="4">
        <v>2.500000037252903E-2</v>
      </c>
      <c r="I18" s="3">
        <v>23</v>
      </c>
      <c r="J18" s="2">
        <f t="shared" si="2"/>
        <v>0</v>
      </c>
      <c r="K18" s="4">
        <v>2.3000000044703484E-2</v>
      </c>
      <c r="L18" s="3">
        <v>23</v>
      </c>
      <c r="M18" s="2">
        <f t="shared" si="3"/>
        <v>0</v>
      </c>
      <c r="N18" s="4">
        <v>2.8999999165534973E-2</v>
      </c>
      <c r="O18" s="3">
        <v>23</v>
      </c>
      <c r="P18" s="2">
        <f t="shared" si="4"/>
        <v>0</v>
      </c>
      <c r="Q18" s="4">
        <v>4.3000001000000003E-2</v>
      </c>
      <c r="R18" s="3">
        <v>23</v>
      </c>
      <c r="S18" s="2">
        <f t="shared" si="5"/>
        <v>0</v>
      </c>
      <c r="T18" s="4">
        <v>2.9999999329447746E-2</v>
      </c>
      <c r="U18" s="3">
        <v>23</v>
      </c>
      <c r="V18" s="2">
        <f t="shared" si="6"/>
        <v>0</v>
      </c>
      <c r="W18" s="4">
        <v>2.9999999329447746E-2</v>
      </c>
    </row>
    <row r="19" spans="1:23" x14ac:dyDescent="0.35">
      <c r="A19" s="1" t="s">
        <v>18</v>
      </c>
      <c r="B19" s="5">
        <f>MIN(C19,F19,I19,L19,O19,R19,U19)</f>
        <v>78</v>
      </c>
      <c r="C19" s="3">
        <v>83</v>
      </c>
      <c r="D19" s="2">
        <f t="shared" si="0"/>
        <v>6.4102564102564097E-2</v>
      </c>
      <c r="E19" s="4">
        <v>0.10999999940395355</v>
      </c>
      <c r="F19" s="3">
        <v>78</v>
      </c>
      <c r="G19" s="2">
        <f t="shared" si="1"/>
        <v>0</v>
      </c>
      <c r="H19" s="4">
        <v>0.16200000047683716</v>
      </c>
      <c r="I19" s="3">
        <v>83</v>
      </c>
      <c r="J19" s="2">
        <f t="shared" si="2"/>
        <v>6.4102564102564097E-2</v>
      </c>
      <c r="K19" s="4">
        <v>5.0999999046325684E-2</v>
      </c>
      <c r="L19" s="3">
        <v>80</v>
      </c>
      <c r="M19" s="2">
        <f t="shared" si="3"/>
        <v>2.564102564102564E-2</v>
      </c>
      <c r="N19" s="4">
        <v>8.6999997496604919E-2</v>
      </c>
      <c r="O19" s="3">
        <v>78</v>
      </c>
      <c r="P19" s="2">
        <f t="shared" si="4"/>
        <v>0</v>
      </c>
      <c r="Q19" s="4">
        <v>0.25299999099999998</v>
      </c>
      <c r="R19" s="3">
        <v>78</v>
      </c>
      <c r="S19" s="2">
        <f t="shared" si="5"/>
        <v>0</v>
      </c>
      <c r="T19" s="4">
        <v>9.2000000178813934E-2</v>
      </c>
      <c r="U19" s="3">
        <v>80</v>
      </c>
      <c r="V19" s="2">
        <f t="shared" si="6"/>
        <v>2.564102564102564E-2</v>
      </c>
      <c r="W19" s="4">
        <v>0.13500000536441803</v>
      </c>
    </row>
    <row r="20" spans="1:23" x14ac:dyDescent="0.35">
      <c r="A20" s="1" t="s">
        <v>19</v>
      </c>
      <c r="B20" s="5">
        <f>MIN(C20,F20,I20,L20,O20,R20,U20)</f>
        <v>86</v>
      </c>
      <c r="C20" s="3">
        <v>87</v>
      </c>
      <c r="D20" s="2">
        <f t="shared" si="0"/>
        <v>1.1627906976744186E-2</v>
      </c>
      <c r="E20" s="4">
        <v>0.74800002574920654</v>
      </c>
      <c r="F20" s="3">
        <v>87</v>
      </c>
      <c r="G20" s="2">
        <f t="shared" si="1"/>
        <v>1.1627906976744186E-2</v>
      </c>
      <c r="H20" s="4">
        <v>0.39500001072883606</v>
      </c>
      <c r="I20" s="3">
        <v>95</v>
      </c>
      <c r="J20" s="2">
        <f t="shared" si="2"/>
        <v>0.10465116279069768</v>
      </c>
      <c r="K20" s="4">
        <v>9.7000002861022949E-2</v>
      </c>
      <c r="L20" s="3">
        <v>89</v>
      </c>
      <c r="M20" s="2">
        <f t="shared" si="3"/>
        <v>3.4883720930232558E-2</v>
      </c>
      <c r="N20" s="4">
        <v>0.21899999678134918</v>
      </c>
      <c r="O20" s="3">
        <v>87</v>
      </c>
      <c r="P20" s="2">
        <f t="shared" si="4"/>
        <v>1.1627906976744186E-2</v>
      </c>
      <c r="Q20" s="4">
        <v>0.54199999600000004</v>
      </c>
      <c r="R20" s="3">
        <v>86</v>
      </c>
      <c r="S20" s="2">
        <f t="shared" si="5"/>
        <v>0</v>
      </c>
      <c r="T20" s="4">
        <v>0.34000000357627869</v>
      </c>
      <c r="U20" s="3">
        <v>88</v>
      </c>
      <c r="V20" s="2">
        <f t="shared" si="6"/>
        <v>2.3255813953488372E-2</v>
      </c>
      <c r="W20" s="4">
        <v>0.37599998712539673</v>
      </c>
    </row>
    <row r="21" spans="1:23" x14ac:dyDescent="0.35">
      <c r="A21" s="1" t="s">
        <v>20</v>
      </c>
      <c r="B21" s="5">
        <f>MIN(C21,F21,I21,L21,O21,R21,U21)</f>
        <v>91</v>
      </c>
      <c r="C21" s="3">
        <v>94</v>
      </c>
      <c r="D21" s="2">
        <f t="shared" si="0"/>
        <v>3.2967032967032968E-2</v>
      </c>
      <c r="E21" s="4">
        <v>0.18899999558925629</v>
      </c>
      <c r="F21" s="3">
        <v>91</v>
      </c>
      <c r="G21" s="2">
        <f t="shared" si="1"/>
        <v>0</v>
      </c>
      <c r="H21" s="4">
        <v>0.15199999511241913</v>
      </c>
      <c r="I21" s="3">
        <v>100</v>
      </c>
      <c r="J21" s="2">
        <f t="shared" si="2"/>
        <v>9.8901098901098897E-2</v>
      </c>
      <c r="K21" s="4">
        <v>6.4999997615814209E-2</v>
      </c>
      <c r="L21" s="3">
        <v>91</v>
      </c>
      <c r="M21" s="2">
        <f t="shared" si="3"/>
        <v>0</v>
      </c>
      <c r="N21" s="4">
        <v>0.27399998903274536</v>
      </c>
      <c r="O21" s="3">
        <v>91</v>
      </c>
      <c r="P21" s="2">
        <f t="shared" si="4"/>
        <v>0</v>
      </c>
      <c r="Q21" s="4">
        <v>0.36300000500000001</v>
      </c>
      <c r="R21" s="3">
        <v>91</v>
      </c>
      <c r="S21" s="2">
        <f t="shared" si="5"/>
        <v>0</v>
      </c>
      <c r="T21" s="4">
        <v>0.11800000071525574</v>
      </c>
      <c r="U21" s="3">
        <v>91</v>
      </c>
      <c r="V21" s="2">
        <f t="shared" si="6"/>
        <v>0</v>
      </c>
      <c r="W21" s="4">
        <v>0.20399999618530273</v>
      </c>
    </row>
    <row r="22" spans="1:23" x14ac:dyDescent="0.35">
      <c r="A22" s="1" t="s">
        <v>21</v>
      </c>
      <c r="B22" s="5">
        <f>MIN(C22,F22,I22,L22,O22,R22,U22)</f>
        <v>157</v>
      </c>
      <c r="C22" s="3">
        <v>165</v>
      </c>
      <c r="D22" s="2">
        <f t="shared" si="0"/>
        <v>5.0955414012738856E-2</v>
      </c>
      <c r="E22" s="4">
        <v>0.27500000596046448</v>
      </c>
      <c r="F22" s="3">
        <v>160</v>
      </c>
      <c r="G22" s="2">
        <f t="shared" si="1"/>
        <v>1.9108280254777069E-2</v>
      </c>
      <c r="H22" s="4">
        <v>0.27099999785423279</v>
      </c>
      <c r="I22" s="3">
        <v>164</v>
      </c>
      <c r="J22" s="2">
        <f t="shared" si="2"/>
        <v>4.4585987261146494E-2</v>
      </c>
      <c r="K22" s="4">
        <v>0.16599999368190765</v>
      </c>
      <c r="L22" s="3">
        <v>161</v>
      </c>
      <c r="M22" s="2">
        <f t="shared" si="3"/>
        <v>2.5477707006369428E-2</v>
      </c>
      <c r="N22" s="4">
        <v>0.4050000011920929</v>
      </c>
      <c r="O22" s="3">
        <v>157</v>
      </c>
      <c r="P22" s="2">
        <f t="shared" si="4"/>
        <v>0</v>
      </c>
      <c r="Q22" s="4">
        <v>1.307000041</v>
      </c>
      <c r="R22" s="3">
        <v>162</v>
      </c>
      <c r="S22" s="2">
        <f t="shared" si="5"/>
        <v>3.1847133757961783E-2</v>
      </c>
      <c r="T22" s="4">
        <v>0.2370000034570694</v>
      </c>
      <c r="U22" s="3">
        <v>161</v>
      </c>
      <c r="V22" s="2">
        <f t="shared" si="6"/>
        <v>2.5477707006369428E-2</v>
      </c>
      <c r="W22" s="4">
        <v>0.29199999570846558</v>
      </c>
    </row>
    <row r="23" spans="1:23" x14ac:dyDescent="0.35">
      <c r="A23" s="1" t="s">
        <v>22</v>
      </c>
      <c r="B23" s="5">
        <f>MIN(C23,F23,I23,L23,O23,R23,U23)</f>
        <v>43</v>
      </c>
      <c r="C23" s="3">
        <v>43</v>
      </c>
      <c r="D23" s="2">
        <f t="shared" si="0"/>
        <v>0</v>
      </c>
      <c r="E23" s="4">
        <v>8.999999612569809E-3</v>
      </c>
      <c r="F23" s="3">
        <v>44</v>
      </c>
      <c r="G23" s="2">
        <f t="shared" si="1"/>
        <v>2.3255813953488372E-2</v>
      </c>
      <c r="H23" s="4">
        <v>6.0000000521540642E-3</v>
      </c>
      <c r="I23" s="3">
        <v>48</v>
      </c>
      <c r="J23" s="2">
        <f t="shared" si="2"/>
        <v>0.11627906976744186</v>
      </c>
      <c r="K23" s="4">
        <v>4.0000001899898052E-3</v>
      </c>
      <c r="L23" s="3">
        <v>43</v>
      </c>
      <c r="M23" s="2">
        <f t="shared" si="3"/>
        <v>0</v>
      </c>
      <c r="N23" s="4">
        <v>7.0000002160668373E-3</v>
      </c>
      <c r="O23" s="3">
        <v>43</v>
      </c>
      <c r="P23" s="2">
        <f t="shared" si="4"/>
        <v>0</v>
      </c>
      <c r="Q23" s="4">
        <v>8.9999999999999993E-3</v>
      </c>
      <c r="R23" s="3">
        <v>43</v>
      </c>
      <c r="S23" s="2">
        <f t="shared" si="5"/>
        <v>0</v>
      </c>
      <c r="T23" s="4">
        <v>8.999999612569809E-3</v>
      </c>
      <c r="U23" s="3">
        <v>43</v>
      </c>
      <c r="V23" s="2">
        <f t="shared" si="6"/>
        <v>0</v>
      </c>
      <c r="W23" s="4">
        <v>6.0000000521540642E-3</v>
      </c>
    </row>
    <row r="24" spans="1:23" x14ac:dyDescent="0.35">
      <c r="A24" s="1" t="s">
        <v>23</v>
      </c>
      <c r="B24" s="5">
        <f>MIN(C24,F24,I24,L24,O24,R24,U24)</f>
        <v>39</v>
      </c>
      <c r="C24" s="3">
        <v>39</v>
      </c>
      <c r="D24" s="2">
        <f t="shared" si="0"/>
        <v>0</v>
      </c>
      <c r="E24" s="4">
        <v>1.0999999940395355E-2</v>
      </c>
      <c r="F24" s="3">
        <v>39</v>
      </c>
      <c r="G24" s="2">
        <f t="shared" si="1"/>
        <v>0</v>
      </c>
      <c r="H24" s="4">
        <v>9.9999997764825821E-3</v>
      </c>
      <c r="I24" s="3">
        <v>43</v>
      </c>
      <c r="J24" s="2">
        <f t="shared" si="2"/>
        <v>0.10256410256410256</v>
      </c>
      <c r="K24" s="4">
        <v>4.0000001899898052E-3</v>
      </c>
      <c r="L24" s="3">
        <v>43</v>
      </c>
      <c r="M24" s="2">
        <f t="shared" si="3"/>
        <v>0.10256410256410256</v>
      </c>
      <c r="N24" s="4">
        <v>6.0000000521540642E-3</v>
      </c>
      <c r="O24" s="3">
        <v>41</v>
      </c>
      <c r="P24" s="2">
        <f t="shared" si="4"/>
        <v>5.128205128205128E-2</v>
      </c>
      <c r="Q24" s="4">
        <v>2.8000001E-2</v>
      </c>
      <c r="R24" s="3">
        <v>41</v>
      </c>
      <c r="S24" s="2">
        <f t="shared" si="5"/>
        <v>5.128205128205128E-2</v>
      </c>
      <c r="T24" s="4">
        <v>8.0000003799796104E-3</v>
      </c>
      <c r="U24" s="3">
        <v>43</v>
      </c>
      <c r="V24" s="2">
        <f t="shared" si="6"/>
        <v>0.10256410256410256</v>
      </c>
      <c r="W24" s="4">
        <v>6.0000000521540642E-3</v>
      </c>
    </row>
    <row r="25" spans="1:23" x14ac:dyDescent="0.35">
      <c r="A25" s="1" t="s">
        <v>24</v>
      </c>
      <c r="B25" s="5">
        <f>MIN(C25,F25,I25,L25,O25,R25,U25)</f>
        <v>70</v>
      </c>
      <c r="C25" s="3">
        <v>70</v>
      </c>
      <c r="D25" s="2">
        <f t="shared" si="0"/>
        <v>0</v>
      </c>
      <c r="E25" s="4">
        <v>4.999999888241291E-3</v>
      </c>
      <c r="F25" s="3">
        <v>70</v>
      </c>
      <c r="G25" s="2">
        <f t="shared" si="1"/>
        <v>0</v>
      </c>
      <c r="H25" s="4">
        <v>4.999999888241291E-3</v>
      </c>
      <c r="I25" s="3">
        <v>70</v>
      </c>
      <c r="J25" s="2">
        <f t="shared" si="2"/>
        <v>0</v>
      </c>
      <c r="K25" s="4">
        <v>2.0000000949949026E-3</v>
      </c>
      <c r="L25" s="3">
        <v>70</v>
      </c>
      <c r="M25" s="2">
        <f t="shared" si="3"/>
        <v>0</v>
      </c>
      <c r="N25" s="4">
        <v>4.0000001899898052E-3</v>
      </c>
      <c r="O25" s="3">
        <v>70</v>
      </c>
      <c r="P25" s="2">
        <f t="shared" si="4"/>
        <v>0</v>
      </c>
      <c r="Q25" s="4">
        <v>8.0000000000000002E-3</v>
      </c>
      <c r="R25" s="3">
        <v>70</v>
      </c>
      <c r="S25" s="2">
        <f t="shared" si="5"/>
        <v>0</v>
      </c>
      <c r="T25" s="4">
        <v>4.0000001899898052E-3</v>
      </c>
      <c r="U25" s="3">
        <v>70</v>
      </c>
      <c r="V25" s="2">
        <f t="shared" si="6"/>
        <v>0</v>
      </c>
      <c r="W25" s="4">
        <v>4.0000001899898052E-3</v>
      </c>
    </row>
    <row r="26" spans="1:23" x14ac:dyDescent="0.35">
      <c r="A26" s="1" t="s">
        <v>25</v>
      </c>
      <c r="B26" s="5">
        <f>MIN(C26,F26,I26,L26,O26,R26,U26)</f>
        <v>45</v>
      </c>
      <c r="C26" s="3">
        <v>46</v>
      </c>
      <c r="D26" s="2">
        <f t="shared" si="0"/>
        <v>2.2222222222222223E-2</v>
      </c>
      <c r="E26" s="4">
        <v>3.4000001847743988E-2</v>
      </c>
      <c r="F26" s="3">
        <v>45</v>
      </c>
      <c r="G26" s="2">
        <f t="shared" si="1"/>
        <v>0</v>
      </c>
      <c r="H26" s="4">
        <v>2.199999988079071E-2</v>
      </c>
      <c r="I26" s="3">
        <v>45</v>
      </c>
      <c r="J26" s="2">
        <f t="shared" si="2"/>
        <v>0</v>
      </c>
      <c r="K26" s="4">
        <v>1.7000000923871994E-2</v>
      </c>
      <c r="L26" s="3">
        <v>45</v>
      </c>
      <c r="M26" s="2">
        <f t="shared" si="3"/>
        <v>0</v>
      </c>
      <c r="N26" s="4">
        <v>2.4000000208616257E-2</v>
      </c>
      <c r="O26" s="3">
        <v>45</v>
      </c>
      <c r="P26" s="2">
        <f t="shared" si="4"/>
        <v>0</v>
      </c>
      <c r="Q26" s="4">
        <v>9.1999999999999998E-2</v>
      </c>
      <c r="R26" s="3">
        <v>45</v>
      </c>
      <c r="S26" s="2">
        <f t="shared" si="5"/>
        <v>0</v>
      </c>
      <c r="T26" s="4">
        <v>1.7000000923871994E-2</v>
      </c>
      <c r="U26" s="3">
        <v>45</v>
      </c>
      <c r="V26" s="2">
        <f t="shared" si="6"/>
        <v>0</v>
      </c>
      <c r="W26" s="4">
        <v>2.199999988079071E-2</v>
      </c>
    </row>
    <row r="27" spans="1:23" x14ac:dyDescent="0.35">
      <c r="A27" s="1" t="s">
        <v>26</v>
      </c>
      <c r="B27" s="5">
        <f>MIN(C27,F27,I27,L27,O27,R27,U27)</f>
        <v>84</v>
      </c>
      <c r="C27" s="3">
        <v>84</v>
      </c>
      <c r="D27" s="2">
        <f t="shared" si="0"/>
        <v>0</v>
      </c>
      <c r="E27" s="4">
        <v>5.6000001728534698E-2</v>
      </c>
      <c r="F27" s="3">
        <v>84</v>
      </c>
      <c r="G27" s="2">
        <f t="shared" si="1"/>
        <v>0</v>
      </c>
      <c r="H27" s="4">
        <v>6.8000003695487976E-2</v>
      </c>
      <c r="I27" s="3">
        <v>87</v>
      </c>
      <c r="J27" s="2">
        <f t="shared" si="2"/>
        <v>3.5714285714285712E-2</v>
      </c>
      <c r="K27" s="4">
        <v>3.9999999105930328E-2</v>
      </c>
      <c r="L27" s="3">
        <v>84</v>
      </c>
      <c r="M27" s="2">
        <f t="shared" si="3"/>
        <v>0</v>
      </c>
      <c r="N27" s="4">
        <v>6.5999999642372131E-2</v>
      </c>
      <c r="O27" s="3">
        <v>84</v>
      </c>
      <c r="P27" s="2">
        <f t="shared" si="4"/>
        <v>0</v>
      </c>
      <c r="Q27" s="4">
        <v>0.187000006</v>
      </c>
      <c r="R27" s="3">
        <v>84</v>
      </c>
      <c r="S27" s="2">
        <f t="shared" si="5"/>
        <v>0</v>
      </c>
      <c r="T27" s="4">
        <v>4.8999998718500137E-2</v>
      </c>
      <c r="U27" s="3">
        <v>84</v>
      </c>
      <c r="V27" s="2">
        <f t="shared" si="6"/>
        <v>0</v>
      </c>
      <c r="W27" s="4">
        <v>5.6000001728534698E-2</v>
      </c>
    </row>
    <row r="28" spans="1:23" x14ac:dyDescent="0.35">
      <c r="A28" s="1" t="s">
        <v>27</v>
      </c>
      <c r="B28" s="5">
        <f>MIN(C28,F28,I28,L28,O28,R28,U28)</f>
        <v>6</v>
      </c>
      <c r="C28" s="3">
        <v>6</v>
      </c>
      <c r="D28" s="2">
        <f t="shared" si="0"/>
        <v>0</v>
      </c>
      <c r="E28" s="4">
        <v>4.6000000089406967E-2</v>
      </c>
      <c r="F28" s="3">
        <v>6</v>
      </c>
      <c r="G28" s="2">
        <f t="shared" si="1"/>
        <v>0</v>
      </c>
      <c r="H28" s="4">
        <v>4.8999998718500137E-2</v>
      </c>
      <c r="I28" s="3">
        <v>6</v>
      </c>
      <c r="J28" s="2">
        <f t="shared" si="2"/>
        <v>0</v>
      </c>
      <c r="K28" s="4">
        <v>4.6000000089406967E-2</v>
      </c>
      <c r="L28" s="3">
        <v>6</v>
      </c>
      <c r="M28" s="2">
        <f t="shared" si="3"/>
        <v>0</v>
      </c>
      <c r="N28" s="4">
        <v>4.8000000417232513E-2</v>
      </c>
      <c r="O28" s="3">
        <v>6</v>
      </c>
      <c r="P28" s="2">
        <f t="shared" si="4"/>
        <v>0</v>
      </c>
      <c r="Q28" s="4">
        <v>8.2999997000000006E-2</v>
      </c>
      <c r="R28" s="3">
        <v>6</v>
      </c>
      <c r="S28" s="2">
        <f t="shared" si="5"/>
        <v>0</v>
      </c>
      <c r="T28" s="4">
        <v>4.6000000089406967E-2</v>
      </c>
      <c r="U28" s="3">
        <v>6</v>
      </c>
      <c r="V28" s="2">
        <f t="shared" si="6"/>
        <v>0</v>
      </c>
      <c r="W28" s="4">
        <v>4.5000001788139343E-2</v>
      </c>
    </row>
    <row r="29" spans="1:23" x14ac:dyDescent="0.35">
      <c r="A29" s="1" t="s">
        <v>28</v>
      </c>
      <c r="B29" s="5">
        <f>MIN(C29,F29,I29,L29,O29,R29,U29)</f>
        <v>59</v>
      </c>
      <c r="C29" s="3">
        <v>59</v>
      </c>
      <c r="D29" s="2">
        <f t="shared" si="0"/>
        <v>0</v>
      </c>
      <c r="E29" s="4">
        <v>0.23100000619888306</v>
      </c>
      <c r="F29" s="3">
        <v>59</v>
      </c>
      <c r="G29" s="2">
        <f t="shared" si="1"/>
        <v>0</v>
      </c>
      <c r="H29" s="4">
        <v>0.12300000339746475</v>
      </c>
      <c r="I29" s="3">
        <v>59</v>
      </c>
      <c r="J29" s="2">
        <f t="shared" si="2"/>
        <v>0</v>
      </c>
      <c r="K29" s="4">
        <v>8.2999996840953827E-2</v>
      </c>
      <c r="L29" s="3">
        <v>59</v>
      </c>
      <c r="M29" s="2">
        <f t="shared" si="3"/>
        <v>0</v>
      </c>
      <c r="N29" s="4">
        <v>0.12999999523162842</v>
      </c>
      <c r="O29" s="3">
        <v>59</v>
      </c>
      <c r="P29" s="2">
        <f t="shared" si="4"/>
        <v>0</v>
      </c>
      <c r="Q29" s="4">
        <v>0.26499998600000002</v>
      </c>
      <c r="R29" s="3">
        <v>59</v>
      </c>
      <c r="S29" s="2">
        <f t="shared" si="5"/>
        <v>0</v>
      </c>
      <c r="T29" s="4">
        <v>0.12600000202655792</v>
      </c>
      <c r="U29" s="3">
        <v>59</v>
      </c>
      <c r="V29" s="2">
        <f t="shared" si="6"/>
        <v>0</v>
      </c>
      <c r="W29" s="4">
        <v>0.11900000274181366</v>
      </c>
    </row>
    <row r="30" spans="1:23" x14ac:dyDescent="0.35">
      <c r="A30" s="1" t="s">
        <v>29</v>
      </c>
      <c r="B30" s="5">
        <f>MIN(C30,F30,I30,L30,O30,R30,U30)</f>
        <v>19</v>
      </c>
      <c r="C30" s="3">
        <v>19</v>
      </c>
      <c r="D30" s="2">
        <f t="shared" si="0"/>
        <v>0</v>
      </c>
      <c r="E30" s="4">
        <v>1.4000000432133675E-2</v>
      </c>
      <c r="F30" s="3">
        <v>19</v>
      </c>
      <c r="G30" s="2">
        <f t="shared" si="1"/>
        <v>0</v>
      </c>
      <c r="H30" s="4">
        <v>1.2000000104308128E-2</v>
      </c>
      <c r="I30" s="3">
        <v>19</v>
      </c>
      <c r="J30" s="2">
        <f t="shared" si="2"/>
        <v>0</v>
      </c>
      <c r="K30" s="4">
        <v>7.0000002160668373E-3</v>
      </c>
      <c r="L30" s="3">
        <v>19</v>
      </c>
      <c r="M30" s="2">
        <f t="shared" si="3"/>
        <v>0</v>
      </c>
      <c r="N30" s="4">
        <v>9.9999997764825821E-3</v>
      </c>
      <c r="O30" s="3">
        <v>19</v>
      </c>
      <c r="P30" s="2">
        <f t="shared" si="4"/>
        <v>0</v>
      </c>
      <c r="Q30" s="4">
        <v>0.01</v>
      </c>
      <c r="R30" s="3">
        <v>19</v>
      </c>
      <c r="S30" s="2">
        <f t="shared" si="5"/>
        <v>0</v>
      </c>
      <c r="T30" s="4">
        <v>1.0999999940395355E-2</v>
      </c>
      <c r="U30" s="3">
        <v>19</v>
      </c>
      <c r="V30" s="2">
        <f t="shared" si="6"/>
        <v>0</v>
      </c>
      <c r="W30" s="4">
        <v>1.3000000268220901E-2</v>
      </c>
    </row>
    <row r="31" spans="1:23" x14ac:dyDescent="0.35">
      <c r="A31" s="1" t="s">
        <v>30</v>
      </c>
      <c r="B31" s="5">
        <f>MIN(C31,F31,I31,L31,O31,R31,U31)</f>
        <v>25</v>
      </c>
      <c r="C31" s="3">
        <v>27</v>
      </c>
      <c r="D31" s="2">
        <f t="shared" si="0"/>
        <v>0.08</v>
      </c>
      <c r="E31" s="4">
        <v>0.12800000607967377</v>
      </c>
      <c r="F31" s="3">
        <v>25</v>
      </c>
      <c r="G31" s="2">
        <f t="shared" si="1"/>
        <v>0</v>
      </c>
      <c r="H31" s="4">
        <v>0.11500000208616257</v>
      </c>
      <c r="I31" s="3">
        <v>25</v>
      </c>
      <c r="J31" s="2">
        <f t="shared" si="2"/>
        <v>0</v>
      </c>
      <c r="K31" s="4">
        <v>8.1000000238418579E-2</v>
      </c>
      <c r="L31" s="3">
        <v>25</v>
      </c>
      <c r="M31" s="2">
        <f t="shared" si="3"/>
        <v>0</v>
      </c>
      <c r="N31" s="4">
        <v>8.7999999523162842E-2</v>
      </c>
      <c r="O31" s="3">
        <v>25</v>
      </c>
      <c r="P31" s="2">
        <f t="shared" si="4"/>
        <v>0</v>
      </c>
      <c r="Q31" s="4">
        <v>5.9999998999999998E-2</v>
      </c>
      <c r="R31" s="3">
        <v>26</v>
      </c>
      <c r="S31" s="2">
        <f t="shared" si="5"/>
        <v>0.04</v>
      </c>
      <c r="T31" s="4">
        <v>5.7999998331069946E-2</v>
      </c>
      <c r="U31" s="3">
        <v>25</v>
      </c>
      <c r="V31" s="2">
        <f t="shared" si="6"/>
        <v>0</v>
      </c>
      <c r="W31" s="4">
        <v>7.6999999582767487E-2</v>
      </c>
    </row>
    <row r="32" spans="1:23" x14ac:dyDescent="0.35">
      <c r="A32" s="1" t="s">
        <v>31</v>
      </c>
      <c r="B32" s="5">
        <f>MIN(C32,F32,I32,L32,O32,R32,U32)</f>
        <v>71</v>
      </c>
      <c r="C32" s="3">
        <v>73</v>
      </c>
      <c r="D32" s="2">
        <f t="shared" si="0"/>
        <v>2.8169014084507043E-2</v>
      </c>
      <c r="E32" s="4">
        <v>0.16599999368190765</v>
      </c>
      <c r="F32" s="3">
        <v>71</v>
      </c>
      <c r="G32" s="2">
        <f t="shared" si="1"/>
        <v>0</v>
      </c>
      <c r="H32" s="4">
        <v>9.6000000834465027E-2</v>
      </c>
      <c r="I32" s="3">
        <v>73</v>
      </c>
      <c r="J32" s="2">
        <f t="shared" si="2"/>
        <v>2.8169014084507043E-2</v>
      </c>
      <c r="K32" s="4">
        <v>6.8000003695487976E-2</v>
      </c>
      <c r="L32" s="3">
        <v>71</v>
      </c>
      <c r="M32" s="2">
        <f t="shared" si="3"/>
        <v>0</v>
      </c>
      <c r="N32" s="4">
        <v>8.2999996840953827E-2</v>
      </c>
      <c r="O32" s="3">
        <v>71</v>
      </c>
      <c r="P32" s="2">
        <f t="shared" si="4"/>
        <v>0</v>
      </c>
      <c r="Q32" s="4">
        <v>0.189999998</v>
      </c>
      <c r="R32" s="3">
        <v>71</v>
      </c>
      <c r="S32" s="2">
        <f t="shared" si="5"/>
        <v>0</v>
      </c>
      <c r="T32" s="4">
        <v>0.10100000351667404</v>
      </c>
      <c r="U32" s="3">
        <v>71</v>
      </c>
      <c r="V32" s="2">
        <f t="shared" si="6"/>
        <v>0</v>
      </c>
      <c r="W32" s="4">
        <v>8.1000000238418579E-2</v>
      </c>
    </row>
    <row r="33" spans="1:23" x14ac:dyDescent="0.35">
      <c r="A33" s="1" t="s">
        <v>32</v>
      </c>
      <c r="B33" s="5">
        <f>MIN(C33,F33,I33,L33,O33,R33,U33)</f>
        <v>3</v>
      </c>
      <c r="C33" s="3">
        <v>3</v>
      </c>
      <c r="D33" s="2">
        <f t="shared" si="0"/>
        <v>0</v>
      </c>
      <c r="E33" s="4">
        <v>4.0000001899898052E-3</v>
      </c>
      <c r="F33" s="3">
        <v>3</v>
      </c>
      <c r="G33" s="2">
        <f t="shared" si="1"/>
        <v>0</v>
      </c>
      <c r="H33" s="4">
        <v>4.999999888241291E-3</v>
      </c>
      <c r="I33" s="3">
        <v>3</v>
      </c>
      <c r="J33" s="2">
        <f t="shared" si="2"/>
        <v>0</v>
      </c>
      <c r="K33" s="4">
        <v>3.0000000260770321E-3</v>
      </c>
      <c r="L33" s="3">
        <v>3</v>
      </c>
      <c r="M33" s="2">
        <f t="shared" si="3"/>
        <v>0</v>
      </c>
      <c r="N33" s="4">
        <v>3.0000000260770321E-3</v>
      </c>
      <c r="O33" s="3">
        <v>3</v>
      </c>
      <c r="P33" s="2">
        <f t="shared" si="4"/>
        <v>0</v>
      </c>
      <c r="Q33" s="4">
        <v>2E-3</v>
      </c>
      <c r="R33" s="3">
        <v>3</v>
      </c>
      <c r="S33" s="2">
        <f t="shared" si="5"/>
        <v>0</v>
      </c>
      <c r="T33" s="4">
        <v>3.0000000260770321E-3</v>
      </c>
      <c r="U33" s="3">
        <v>3</v>
      </c>
      <c r="V33" s="2">
        <f t="shared" si="6"/>
        <v>0</v>
      </c>
      <c r="W33" s="4">
        <v>3.0000000260770321E-3</v>
      </c>
    </row>
    <row r="34" spans="1:23" x14ac:dyDescent="0.35">
      <c r="A34" s="1" t="s">
        <v>33</v>
      </c>
      <c r="B34" s="5">
        <f>MIN(C34,F34,I34,L34,O34,R34,U34)</f>
        <v>3</v>
      </c>
      <c r="C34" s="3">
        <v>3</v>
      </c>
      <c r="D34" s="2">
        <f t="shared" si="0"/>
        <v>0</v>
      </c>
      <c r="E34" s="4">
        <v>9.9999997764825821E-3</v>
      </c>
      <c r="F34" s="3">
        <v>3</v>
      </c>
      <c r="G34" s="2">
        <f t="shared" si="1"/>
        <v>0</v>
      </c>
      <c r="H34" s="4">
        <v>9.9999997764825821E-3</v>
      </c>
      <c r="I34" s="3">
        <v>3</v>
      </c>
      <c r="J34" s="2">
        <f t="shared" si="2"/>
        <v>0</v>
      </c>
      <c r="K34" s="4">
        <v>8.999999612569809E-3</v>
      </c>
      <c r="L34" s="3">
        <v>3</v>
      </c>
      <c r="M34" s="2">
        <f t="shared" si="3"/>
        <v>0</v>
      </c>
      <c r="N34" s="4">
        <v>8.0000003799796104E-3</v>
      </c>
      <c r="O34" s="3">
        <v>3</v>
      </c>
      <c r="P34" s="2">
        <f t="shared" si="4"/>
        <v>0</v>
      </c>
      <c r="Q34" s="4">
        <v>5.0000000000000001E-3</v>
      </c>
      <c r="R34" s="3">
        <v>3</v>
      </c>
      <c r="S34" s="2">
        <f t="shared" si="5"/>
        <v>0</v>
      </c>
      <c r="T34" s="4">
        <v>7.0000002160668373E-3</v>
      </c>
      <c r="U34" s="3">
        <v>3</v>
      </c>
      <c r="V34" s="2">
        <f t="shared" si="6"/>
        <v>0</v>
      </c>
      <c r="W34" s="4">
        <v>7.0000002160668373E-3</v>
      </c>
    </row>
    <row r="35" spans="1:23" x14ac:dyDescent="0.35">
      <c r="A35" s="1" t="s">
        <v>34</v>
      </c>
      <c r="B35" s="5">
        <f>MIN(C35,F35,I35,L35,O35,R35,U35)</f>
        <v>135</v>
      </c>
      <c r="C35" s="3">
        <v>136</v>
      </c>
      <c r="D35" s="2">
        <f t="shared" si="0"/>
        <v>7.4074074074074077E-3</v>
      </c>
      <c r="E35" s="4">
        <v>0.41100001335144043</v>
      </c>
      <c r="F35" s="3">
        <v>137</v>
      </c>
      <c r="G35" s="2">
        <f t="shared" si="1"/>
        <v>1.4814814814814815E-2</v>
      </c>
      <c r="H35" s="4">
        <v>0.18199999630451202</v>
      </c>
      <c r="I35" s="3">
        <v>149</v>
      </c>
      <c r="J35" s="2">
        <f t="shared" si="2"/>
        <v>0.1037037037037037</v>
      </c>
      <c r="K35" s="4">
        <v>0.12300000339746475</v>
      </c>
      <c r="L35" s="3">
        <v>135</v>
      </c>
      <c r="M35" s="2">
        <f t="shared" si="3"/>
        <v>0</v>
      </c>
      <c r="N35" s="4">
        <v>0.42199999094009399</v>
      </c>
      <c r="O35" s="3">
        <v>135</v>
      </c>
      <c r="P35" s="2">
        <f t="shared" si="4"/>
        <v>0</v>
      </c>
      <c r="Q35" s="4">
        <v>0.375</v>
      </c>
      <c r="R35" s="3">
        <v>138</v>
      </c>
      <c r="S35" s="2">
        <f t="shared" si="5"/>
        <v>2.2222222222222223E-2</v>
      </c>
      <c r="T35" s="4">
        <v>0.21899999678134918</v>
      </c>
      <c r="U35" s="3">
        <v>139</v>
      </c>
      <c r="V35" s="2">
        <f t="shared" si="6"/>
        <v>2.9629629629629631E-2</v>
      </c>
      <c r="W35" s="4">
        <v>0.2370000034570694</v>
      </c>
    </row>
    <row r="36" spans="1:23" x14ac:dyDescent="0.35">
      <c r="A36" s="1" t="s">
        <v>35</v>
      </c>
      <c r="B36" s="5">
        <f>MIN(C36,F36,I36,L36,O36,R36,U36)</f>
        <v>61</v>
      </c>
      <c r="C36" s="3">
        <v>66</v>
      </c>
      <c r="D36" s="2">
        <f t="shared" si="0"/>
        <v>8.1967213114754092E-2</v>
      </c>
      <c r="E36" s="4">
        <v>4.5000001788139343E-2</v>
      </c>
      <c r="F36" s="3">
        <v>63</v>
      </c>
      <c r="G36" s="2">
        <f t="shared" si="1"/>
        <v>3.2786885245901641E-2</v>
      </c>
      <c r="H36" s="4">
        <v>5.000000074505806E-2</v>
      </c>
      <c r="I36" s="3">
        <v>66</v>
      </c>
      <c r="J36" s="2">
        <f t="shared" si="2"/>
        <v>8.1967213114754092E-2</v>
      </c>
      <c r="K36" s="4">
        <v>2.199999988079071E-2</v>
      </c>
      <c r="L36" s="3">
        <v>66</v>
      </c>
      <c r="M36" s="2">
        <f t="shared" si="3"/>
        <v>8.1967213114754092E-2</v>
      </c>
      <c r="N36" s="4">
        <v>3.2999999821186066E-2</v>
      </c>
      <c r="O36" s="3">
        <v>63</v>
      </c>
      <c r="P36" s="2">
        <f t="shared" si="4"/>
        <v>3.2786885245901641E-2</v>
      </c>
      <c r="Q36" s="4">
        <v>9.3000001999999998E-2</v>
      </c>
      <c r="R36" s="3">
        <v>63</v>
      </c>
      <c r="S36" s="2">
        <f t="shared" si="5"/>
        <v>3.2786885245901641E-2</v>
      </c>
      <c r="T36" s="4">
        <v>3.5999998450279236E-2</v>
      </c>
      <c r="U36" s="3">
        <v>61</v>
      </c>
      <c r="V36" s="2">
        <f t="shared" si="6"/>
        <v>0</v>
      </c>
      <c r="W36" s="4">
        <v>4.5000001788139343E-2</v>
      </c>
    </row>
    <row r="37" spans="1:23" x14ac:dyDescent="0.35">
      <c r="A37" s="1" t="s">
        <v>36</v>
      </c>
      <c r="B37" s="5">
        <f>MIN(C37,F37,I37,L37,O37,R37,U37)</f>
        <v>11</v>
      </c>
      <c r="C37" s="3">
        <v>15</v>
      </c>
      <c r="D37" s="2">
        <f t="shared" si="0"/>
        <v>0.36363636363636365</v>
      </c>
      <c r="E37" s="4">
        <v>1.4000000432133675E-2</v>
      </c>
      <c r="F37" s="3">
        <v>11</v>
      </c>
      <c r="G37" s="2">
        <f t="shared" si="1"/>
        <v>0</v>
      </c>
      <c r="H37" s="4">
        <v>3.0999999493360519E-2</v>
      </c>
      <c r="I37" s="3">
        <v>15</v>
      </c>
      <c r="J37" s="2">
        <f t="shared" si="2"/>
        <v>0.36363636363636365</v>
      </c>
      <c r="K37" s="4">
        <v>8.999999612569809E-3</v>
      </c>
      <c r="L37" s="3">
        <v>14</v>
      </c>
      <c r="M37" s="2">
        <f t="shared" si="3"/>
        <v>0.27272727272727271</v>
      </c>
      <c r="N37" s="4">
        <v>1.7999999225139618E-2</v>
      </c>
      <c r="O37" s="3">
        <v>11</v>
      </c>
      <c r="P37" s="2">
        <f t="shared" si="4"/>
        <v>0</v>
      </c>
      <c r="Q37" s="4">
        <v>3.3000000000000002E-2</v>
      </c>
      <c r="R37" s="3">
        <v>15</v>
      </c>
      <c r="S37" s="2">
        <f t="shared" si="5"/>
        <v>0.36363636363636365</v>
      </c>
      <c r="T37" s="4">
        <v>9.9999997764825821E-3</v>
      </c>
      <c r="U37" s="3">
        <v>15</v>
      </c>
      <c r="V37" s="2">
        <f t="shared" si="6"/>
        <v>0.36363636363636365</v>
      </c>
      <c r="W37" s="4">
        <v>9.9999997764825821E-3</v>
      </c>
    </row>
    <row r="38" spans="1:23" x14ac:dyDescent="0.35">
      <c r="A38" s="1" t="s">
        <v>37</v>
      </c>
      <c r="B38" s="5">
        <f>MIN(C38,F38,I38,L38,O38,R38,U38)</f>
        <v>2</v>
      </c>
      <c r="C38" s="3">
        <v>2</v>
      </c>
      <c r="D38" s="2">
        <f t="shared" si="0"/>
        <v>0</v>
      </c>
      <c r="E38" s="4">
        <v>8.0000003799796104E-3</v>
      </c>
      <c r="F38" s="3">
        <v>2</v>
      </c>
      <c r="G38" s="2">
        <f t="shared" si="1"/>
        <v>0</v>
      </c>
      <c r="H38" s="4">
        <v>8.0000003799796104E-3</v>
      </c>
      <c r="I38" s="3">
        <v>2</v>
      </c>
      <c r="J38" s="2">
        <f t="shared" si="2"/>
        <v>0</v>
      </c>
      <c r="K38" s="4">
        <v>1.0999999940395355E-2</v>
      </c>
      <c r="L38" s="3">
        <v>2</v>
      </c>
      <c r="M38" s="2">
        <f t="shared" si="3"/>
        <v>0</v>
      </c>
      <c r="N38" s="4">
        <v>7.0000002160668373E-3</v>
      </c>
      <c r="O38" s="3">
        <v>2</v>
      </c>
      <c r="P38" s="2">
        <f t="shared" si="4"/>
        <v>0</v>
      </c>
      <c r="Q38" s="4">
        <v>6.0000000000000001E-3</v>
      </c>
      <c r="R38" s="3">
        <v>2</v>
      </c>
      <c r="S38" s="2">
        <f t="shared" si="5"/>
        <v>0</v>
      </c>
      <c r="T38" s="4">
        <v>7.0000002160668373E-3</v>
      </c>
      <c r="U38" s="3">
        <v>2</v>
      </c>
      <c r="V38" s="2">
        <f t="shared" si="6"/>
        <v>0</v>
      </c>
      <c r="W38" s="4">
        <v>7.0000002160668373E-3</v>
      </c>
    </row>
    <row r="39" spans="1:23" x14ac:dyDescent="0.35">
      <c r="A39" s="1" t="s">
        <v>38</v>
      </c>
      <c r="B39" s="5">
        <f>MIN(C39,F39,I39,L39,O39,R39,U39)</f>
        <v>92</v>
      </c>
      <c r="C39" s="3">
        <v>98</v>
      </c>
      <c r="D39" s="2">
        <f t="shared" si="0"/>
        <v>6.5217391304347824E-2</v>
      </c>
      <c r="E39" s="4">
        <v>0.21600000560283661</v>
      </c>
      <c r="F39" s="3">
        <v>93</v>
      </c>
      <c r="G39" s="2">
        <f t="shared" si="1"/>
        <v>1.0869565217391304E-2</v>
      </c>
      <c r="H39" s="4">
        <v>0.33300000429153442</v>
      </c>
      <c r="I39" s="3">
        <v>100</v>
      </c>
      <c r="J39" s="2">
        <f t="shared" si="2"/>
        <v>8.6956521739130432E-2</v>
      </c>
      <c r="K39" s="4">
        <v>0.10499999672174454</v>
      </c>
      <c r="L39" s="3">
        <v>96</v>
      </c>
      <c r="M39" s="2">
        <f t="shared" si="3"/>
        <v>4.3478260869565216E-2</v>
      </c>
      <c r="N39" s="4">
        <v>0.24799999594688416</v>
      </c>
      <c r="O39" s="3">
        <v>92</v>
      </c>
      <c r="P39" s="2">
        <f t="shared" si="4"/>
        <v>0</v>
      </c>
      <c r="Q39" s="4">
        <v>0.61000001400000003</v>
      </c>
      <c r="R39" s="3">
        <v>93</v>
      </c>
      <c r="S39" s="2">
        <f t="shared" si="5"/>
        <v>1.0869565217391304E-2</v>
      </c>
      <c r="T39" s="4">
        <v>0.3919999897480011</v>
      </c>
      <c r="U39" s="3">
        <v>96</v>
      </c>
      <c r="V39" s="2">
        <f t="shared" si="6"/>
        <v>4.3478260869565216E-2</v>
      </c>
      <c r="W39" s="4">
        <v>0.45300000905990601</v>
      </c>
    </row>
    <row r="40" spans="1:23" ht="15" thickBot="1" x14ac:dyDescent="0.4">
      <c r="A40" s="1" t="s">
        <v>39</v>
      </c>
      <c r="B40" s="6">
        <f>MIN(C40,F40,I40,L40,O40,R40,U40)</f>
        <v>20</v>
      </c>
      <c r="C40" s="3">
        <v>20</v>
      </c>
      <c r="D40" s="2">
        <f t="shared" si="0"/>
        <v>0</v>
      </c>
      <c r="E40" s="4">
        <v>1.9999999552965164E-2</v>
      </c>
      <c r="F40" s="3">
        <v>20</v>
      </c>
      <c r="G40" s="2">
        <f t="shared" si="1"/>
        <v>0</v>
      </c>
      <c r="H40" s="4">
        <v>2.3000000044703484E-2</v>
      </c>
      <c r="I40" s="3">
        <v>20</v>
      </c>
      <c r="J40" s="2">
        <f t="shared" si="2"/>
        <v>0</v>
      </c>
      <c r="K40" s="4">
        <v>2.199999988079071E-2</v>
      </c>
      <c r="L40" s="3">
        <v>20</v>
      </c>
      <c r="M40" s="2">
        <f t="shared" si="3"/>
        <v>0</v>
      </c>
      <c r="N40" s="4">
        <v>3.2999999821186066E-2</v>
      </c>
      <c r="O40" s="3">
        <v>20</v>
      </c>
      <c r="P40" s="2">
        <f t="shared" si="4"/>
        <v>0</v>
      </c>
      <c r="Q40" s="4">
        <v>3.4000002000000001E-2</v>
      </c>
      <c r="R40" s="3">
        <v>20</v>
      </c>
      <c r="S40" s="2">
        <f t="shared" si="5"/>
        <v>0</v>
      </c>
      <c r="T40" s="4">
        <v>2.199999988079071E-2</v>
      </c>
      <c r="U40" s="3">
        <v>20</v>
      </c>
      <c r="V40" s="2">
        <f t="shared" si="6"/>
        <v>0</v>
      </c>
      <c r="W40" s="4">
        <v>1.9999999552965164E-2</v>
      </c>
    </row>
    <row r="41" spans="1:23" ht="15" thickBot="1" x14ac:dyDescent="0.4">
      <c r="C41" s="7">
        <f>AVERAGE(C2:C40)</f>
        <v>74.410256410256409</v>
      </c>
      <c r="D41" s="11">
        <f>AVERAGE(D2:D40)</f>
        <v>2.706979516750482E-2</v>
      </c>
      <c r="E41" s="10">
        <f t="shared" ref="E41:W41" si="7">AVERAGE(E2:E40)</f>
        <v>0.14848717922965685</v>
      </c>
      <c r="F41" s="7">
        <f t="shared" si="7"/>
        <v>72.948717948717942</v>
      </c>
      <c r="G41" s="11">
        <f>AVERAGE(G2:G40)</f>
        <v>5.9840073838754579E-3</v>
      </c>
      <c r="H41" s="10">
        <f t="shared" si="7"/>
        <v>0.12358974536451009</v>
      </c>
      <c r="I41" s="7">
        <f t="shared" si="7"/>
        <v>76.333333333333329</v>
      </c>
      <c r="J41" s="11">
        <f>AVERAGE(J2:J40)</f>
        <v>5.3841590377932513E-2</v>
      </c>
      <c r="K41" s="10">
        <f t="shared" si="7"/>
        <v>5.1794871628188931E-2</v>
      </c>
      <c r="L41" s="7">
        <f t="shared" si="7"/>
        <v>73.307692307692307</v>
      </c>
      <c r="M41" s="11">
        <f>AVERAGE(M2:M40)</f>
        <v>1.7969806921942704E-2</v>
      </c>
      <c r="N41" s="10">
        <f t="shared" si="7"/>
        <v>0.12602563932514152</v>
      </c>
      <c r="O41" s="7">
        <f t="shared" si="7"/>
        <v>72.487179487179489</v>
      </c>
      <c r="P41" s="11">
        <f>AVERAGE(P2:P40)</f>
        <v>3.3166816723834603E-3</v>
      </c>
      <c r="Q41" s="10">
        <f t="shared" si="7"/>
        <v>0.23889743738461547</v>
      </c>
      <c r="R41" s="7">
        <f t="shared" si="7"/>
        <v>73.179487179487182</v>
      </c>
      <c r="S41" s="11">
        <f>AVERAGE(S2:S40)</f>
        <v>1.7382395793099244E-2</v>
      </c>
      <c r="T41" s="10">
        <f t="shared" si="7"/>
        <v>0.12328204974078406</v>
      </c>
      <c r="U41" s="7">
        <f t="shared" si="7"/>
        <v>73.461538461538467</v>
      </c>
      <c r="V41" s="11">
        <f>AVERAGE(V2:V40)</f>
        <v>1.8711566811518834E-2</v>
      </c>
      <c r="W41" s="10">
        <f t="shared" si="7"/>
        <v>0.12130769317706999</v>
      </c>
    </row>
    <row r="42" spans="1:23" ht="15" thickBot="1" x14ac:dyDescent="0.4">
      <c r="C42" s="12">
        <f>COUNTIF(D$2:D$40,0)</f>
        <v>22</v>
      </c>
      <c r="F42" s="12">
        <f>COUNTIF(G$2:G$40,0)</f>
        <v>26</v>
      </c>
      <c r="I42" s="12">
        <f>COUNTIF(J$2:J$40,0)</f>
        <v>16</v>
      </c>
      <c r="L42" s="12">
        <f>COUNTIF(M$2:M$40,0)</f>
        <v>26</v>
      </c>
      <c r="O42" s="12">
        <f>COUNTIF(P$2:P$40,0)</f>
        <v>33</v>
      </c>
      <c r="R42" s="12">
        <f>COUNTIF(S$2:S$40,0)</f>
        <v>27</v>
      </c>
      <c r="U42" s="12">
        <f>COUNTIF(V$2:V$40,0)</f>
        <v>27</v>
      </c>
    </row>
    <row r="44" spans="1:23" ht="15" thickBot="1" x14ac:dyDescent="0.4"/>
    <row r="45" spans="1:23" ht="15" thickBot="1" x14ac:dyDescent="0.4">
      <c r="A45" s="7" t="s">
        <v>0</v>
      </c>
      <c r="B45" s="8" t="s">
        <v>46</v>
      </c>
      <c r="C45" s="7" t="s">
        <v>43</v>
      </c>
      <c r="D45" s="9" t="s">
        <v>47</v>
      </c>
      <c r="E45" s="10" t="s">
        <v>48</v>
      </c>
      <c r="F45" s="7" t="s">
        <v>41</v>
      </c>
      <c r="G45" s="9" t="s">
        <v>47</v>
      </c>
      <c r="H45" s="10" t="s">
        <v>48</v>
      </c>
      <c r="J45" s="12" t="s">
        <v>0</v>
      </c>
      <c r="K45" s="8" t="s">
        <v>46</v>
      </c>
      <c r="L45" s="7" t="s">
        <v>43</v>
      </c>
      <c r="M45" s="9" t="s">
        <v>47</v>
      </c>
      <c r="N45" s="10" t="s">
        <v>48</v>
      </c>
      <c r="O45" s="7" t="s">
        <v>45</v>
      </c>
      <c r="P45" s="9" t="s">
        <v>47</v>
      </c>
      <c r="Q45" s="10" t="s">
        <v>48</v>
      </c>
    </row>
    <row r="46" spans="1:23" x14ac:dyDescent="0.35">
      <c r="A46" s="1" t="s">
        <v>1</v>
      </c>
      <c r="B46" s="5">
        <f>MIN(C46,F46)</f>
        <v>125</v>
      </c>
      <c r="C46" s="3">
        <v>125</v>
      </c>
      <c r="D46" s="13">
        <f>(C46-$B46)/$B46</f>
        <v>0</v>
      </c>
      <c r="E46" s="4">
        <v>0.36800000100000002</v>
      </c>
      <c r="F46" s="3">
        <v>125</v>
      </c>
      <c r="G46" s="2">
        <f>(F46-$B46)/$B46</f>
        <v>0</v>
      </c>
      <c r="H46" s="4">
        <v>0.11900000274181366</v>
      </c>
      <c r="J46" s="14" t="s">
        <v>1</v>
      </c>
      <c r="K46" s="5">
        <f>MIN(L46,O46)</f>
        <v>124</v>
      </c>
      <c r="L46" s="3">
        <v>125</v>
      </c>
      <c r="M46" s="13">
        <f>(L46-$K46)/$K46</f>
        <v>8.0645161290322578E-3</v>
      </c>
      <c r="N46" s="4">
        <v>0.36800000100000002</v>
      </c>
      <c r="O46" s="3">
        <v>124</v>
      </c>
      <c r="P46" s="13">
        <f>(O46-$K46)/$K46</f>
        <v>0</v>
      </c>
      <c r="Q46" s="4">
        <v>0.11900000274181366</v>
      </c>
    </row>
    <row r="47" spans="1:23" x14ac:dyDescent="0.35">
      <c r="A47" s="1" t="s">
        <v>2</v>
      </c>
      <c r="B47" s="5">
        <f t="shared" ref="B47:B84" si="8">MIN(C47,F47)</f>
        <v>160</v>
      </c>
      <c r="C47" s="3">
        <v>160</v>
      </c>
      <c r="D47" s="13">
        <f t="shared" ref="D47:D84" si="9">(C47-$B47)/$B47</f>
        <v>0</v>
      </c>
      <c r="E47" s="4">
        <v>0.61500001000000004</v>
      </c>
      <c r="F47" s="3">
        <v>161</v>
      </c>
      <c r="G47" s="2">
        <f t="shared" ref="G47:G84" si="10">(F47-$B47)/$B47</f>
        <v>6.2500000000000003E-3</v>
      </c>
      <c r="H47" s="4">
        <v>0.37799999117851257</v>
      </c>
      <c r="J47" s="14" t="s">
        <v>2</v>
      </c>
      <c r="K47" s="5">
        <f t="shared" ref="K47:K84" si="11">MIN(L47,O47)</f>
        <v>160</v>
      </c>
      <c r="L47" s="3">
        <v>160</v>
      </c>
      <c r="M47" s="13">
        <f t="shared" ref="M47:M84" si="12">(L47-$K47)/$K47</f>
        <v>0</v>
      </c>
      <c r="N47" s="4">
        <v>0.61500001000000004</v>
      </c>
      <c r="O47" s="3">
        <v>162</v>
      </c>
      <c r="P47" s="13">
        <f t="shared" ref="P47:P84" si="13">(O47-$K47)/$K47</f>
        <v>1.2500000000000001E-2</v>
      </c>
      <c r="Q47" s="4">
        <v>0.37799999117851257</v>
      </c>
    </row>
    <row r="48" spans="1:23" x14ac:dyDescent="0.35">
      <c r="A48" s="1" t="s">
        <v>3</v>
      </c>
      <c r="B48" s="5">
        <f t="shared" si="8"/>
        <v>298</v>
      </c>
      <c r="C48" s="3">
        <v>298</v>
      </c>
      <c r="D48" s="13">
        <f t="shared" si="9"/>
        <v>0</v>
      </c>
      <c r="E48" s="4">
        <v>1.9060000180000001</v>
      </c>
      <c r="F48" s="3">
        <v>302</v>
      </c>
      <c r="G48" s="2">
        <f t="shared" si="10"/>
        <v>1.3422818791946308E-2</v>
      </c>
      <c r="H48" s="4">
        <v>1.2130000591278076</v>
      </c>
      <c r="J48" s="14" t="s">
        <v>3</v>
      </c>
      <c r="K48" s="5">
        <f t="shared" si="11"/>
        <v>298</v>
      </c>
      <c r="L48" s="3">
        <v>298</v>
      </c>
      <c r="M48" s="13">
        <f t="shared" si="12"/>
        <v>0</v>
      </c>
      <c r="N48" s="4">
        <v>1.9060000180000001</v>
      </c>
      <c r="O48" s="3">
        <v>311</v>
      </c>
      <c r="P48" s="13">
        <f t="shared" si="13"/>
        <v>4.3624161073825503E-2</v>
      </c>
      <c r="Q48" s="4">
        <v>1.2130000591278076</v>
      </c>
    </row>
    <row r="49" spans="1:17" x14ac:dyDescent="0.35">
      <c r="A49" s="1" t="s">
        <v>4</v>
      </c>
      <c r="B49" s="5">
        <f t="shared" si="8"/>
        <v>45</v>
      </c>
      <c r="C49" s="3">
        <v>45</v>
      </c>
      <c r="D49" s="13">
        <f t="shared" si="9"/>
        <v>0</v>
      </c>
      <c r="E49" s="4">
        <v>3.4000002000000001E-2</v>
      </c>
      <c r="F49" s="3">
        <v>45</v>
      </c>
      <c r="G49" s="2">
        <f t="shared" si="10"/>
        <v>0</v>
      </c>
      <c r="H49" s="4">
        <v>1.7999999225139618E-2</v>
      </c>
      <c r="J49" s="14" t="s">
        <v>4</v>
      </c>
      <c r="K49" s="5">
        <f t="shared" si="11"/>
        <v>45</v>
      </c>
      <c r="L49" s="3">
        <v>45</v>
      </c>
      <c r="M49" s="13">
        <f t="shared" si="12"/>
        <v>0</v>
      </c>
      <c r="N49" s="4">
        <v>3.4000002000000001E-2</v>
      </c>
      <c r="O49" s="3">
        <v>45</v>
      </c>
      <c r="P49" s="13">
        <f t="shared" si="13"/>
        <v>0</v>
      </c>
      <c r="Q49" s="4">
        <v>1.7999999225139618E-2</v>
      </c>
    </row>
    <row r="50" spans="1:17" x14ac:dyDescent="0.35">
      <c r="A50" s="1" t="s">
        <v>5</v>
      </c>
      <c r="B50" s="5">
        <f t="shared" si="8"/>
        <v>36</v>
      </c>
      <c r="C50" s="3">
        <v>36</v>
      </c>
      <c r="D50" s="13">
        <f t="shared" si="9"/>
        <v>0</v>
      </c>
      <c r="E50" s="4">
        <v>2E-3</v>
      </c>
      <c r="F50" s="3">
        <v>36</v>
      </c>
      <c r="G50" s="2">
        <f t="shared" si="10"/>
        <v>0</v>
      </c>
      <c r="H50" s="4">
        <v>4.0000001899898052E-3</v>
      </c>
      <c r="J50" s="14" t="s">
        <v>5</v>
      </c>
      <c r="K50" s="5">
        <f t="shared" si="11"/>
        <v>36</v>
      </c>
      <c r="L50" s="3">
        <v>36</v>
      </c>
      <c r="M50" s="13">
        <f t="shared" si="12"/>
        <v>0</v>
      </c>
      <c r="N50" s="4">
        <v>2E-3</v>
      </c>
      <c r="O50" s="3">
        <v>36</v>
      </c>
      <c r="P50" s="13">
        <f t="shared" si="13"/>
        <v>0</v>
      </c>
      <c r="Q50" s="4">
        <v>4.0000001899898052E-3</v>
      </c>
    </row>
    <row r="51" spans="1:17" x14ac:dyDescent="0.35">
      <c r="A51" s="1" t="s">
        <v>6</v>
      </c>
      <c r="B51" s="5">
        <f t="shared" si="8"/>
        <v>42</v>
      </c>
      <c r="C51" s="3">
        <v>42</v>
      </c>
      <c r="D51" s="13">
        <f t="shared" si="9"/>
        <v>0</v>
      </c>
      <c r="E51" s="4">
        <v>5.0000000000000001E-3</v>
      </c>
      <c r="F51" s="3">
        <v>42</v>
      </c>
      <c r="G51" s="2">
        <f t="shared" si="10"/>
        <v>0</v>
      </c>
      <c r="H51" s="4">
        <v>3.0000000260770321E-3</v>
      </c>
      <c r="J51" s="14" t="s">
        <v>6</v>
      </c>
      <c r="K51" s="5">
        <f t="shared" si="11"/>
        <v>42</v>
      </c>
      <c r="L51" s="3">
        <v>42</v>
      </c>
      <c r="M51" s="13">
        <f t="shared" si="12"/>
        <v>0</v>
      </c>
      <c r="N51" s="4">
        <v>5.0000000000000001E-3</v>
      </c>
      <c r="O51" s="3">
        <v>42</v>
      </c>
      <c r="P51" s="13">
        <f t="shared" si="13"/>
        <v>0</v>
      </c>
      <c r="Q51" s="4">
        <v>3.0000000260770321E-3</v>
      </c>
    </row>
    <row r="52" spans="1:17" x14ac:dyDescent="0.35">
      <c r="A52" s="1" t="s">
        <v>7</v>
      </c>
      <c r="B52" s="5">
        <f t="shared" si="8"/>
        <v>91</v>
      </c>
      <c r="C52" s="3">
        <v>91</v>
      </c>
      <c r="D52" s="13">
        <f t="shared" si="9"/>
        <v>0</v>
      </c>
      <c r="E52" s="4">
        <v>3.0999999E-2</v>
      </c>
      <c r="F52" s="3">
        <v>91</v>
      </c>
      <c r="G52" s="2">
        <f t="shared" si="10"/>
        <v>0</v>
      </c>
      <c r="H52" s="4">
        <v>1.7000000923871994E-2</v>
      </c>
      <c r="J52" s="14" t="s">
        <v>7</v>
      </c>
      <c r="K52" s="5">
        <f t="shared" si="11"/>
        <v>91</v>
      </c>
      <c r="L52" s="3">
        <v>91</v>
      </c>
      <c r="M52" s="13">
        <f t="shared" si="12"/>
        <v>0</v>
      </c>
      <c r="N52" s="4">
        <v>3.0999999E-2</v>
      </c>
      <c r="O52" s="3">
        <v>91</v>
      </c>
      <c r="P52" s="13">
        <f t="shared" si="13"/>
        <v>0</v>
      </c>
      <c r="Q52" s="4">
        <v>1.7000000923871994E-2</v>
      </c>
    </row>
    <row r="53" spans="1:17" x14ac:dyDescent="0.35">
      <c r="A53" s="1" t="s">
        <v>8</v>
      </c>
      <c r="B53" s="5">
        <f t="shared" si="8"/>
        <v>180</v>
      </c>
      <c r="C53" s="3">
        <v>180</v>
      </c>
      <c r="D53" s="13">
        <f t="shared" si="9"/>
        <v>0</v>
      </c>
      <c r="E53" s="4">
        <v>0.68599999</v>
      </c>
      <c r="F53" s="3">
        <v>183</v>
      </c>
      <c r="G53" s="2">
        <f t="shared" si="10"/>
        <v>1.6666666666666666E-2</v>
      </c>
      <c r="H53" s="4">
        <v>0.33500000834465027</v>
      </c>
      <c r="J53" s="14" t="s">
        <v>8</v>
      </c>
      <c r="K53" s="5">
        <f t="shared" si="11"/>
        <v>180</v>
      </c>
      <c r="L53" s="3">
        <v>180</v>
      </c>
      <c r="M53" s="13">
        <f t="shared" si="12"/>
        <v>0</v>
      </c>
      <c r="N53" s="4">
        <v>0.68599999</v>
      </c>
      <c r="O53" s="3">
        <v>181</v>
      </c>
      <c r="P53" s="13">
        <f t="shared" si="13"/>
        <v>5.5555555555555558E-3</v>
      </c>
      <c r="Q53" s="4">
        <v>0.33500000834465027</v>
      </c>
    </row>
    <row r="54" spans="1:17" x14ac:dyDescent="0.35">
      <c r="A54" s="1" t="s">
        <v>9</v>
      </c>
      <c r="B54" s="5">
        <f t="shared" si="8"/>
        <v>369</v>
      </c>
      <c r="C54" s="3">
        <v>369</v>
      </c>
      <c r="D54" s="13">
        <f t="shared" si="9"/>
        <v>0</v>
      </c>
      <c r="E54" s="4">
        <v>0.76899999399999996</v>
      </c>
      <c r="F54" s="3">
        <v>371</v>
      </c>
      <c r="G54" s="2">
        <f t="shared" si="10"/>
        <v>5.4200542005420054E-3</v>
      </c>
      <c r="H54" s="4">
        <v>0.335999995470047</v>
      </c>
      <c r="J54" s="14" t="s">
        <v>9</v>
      </c>
      <c r="K54" s="5">
        <f t="shared" si="11"/>
        <v>369</v>
      </c>
      <c r="L54" s="3">
        <v>369</v>
      </c>
      <c r="M54" s="13">
        <f t="shared" si="12"/>
        <v>0</v>
      </c>
      <c r="N54" s="4">
        <v>0.76899999399999996</v>
      </c>
      <c r="O54" s="3">
        <v>371</v>
      </c>
      <c r="P54" s="13">
        <f t="shared" si="13"/>
        <v>5.4200542005420054E-3</v>
      </c>
      <c r="Q54" s="4">
        <v>0.335999995470047</v>
      </c>
    </row>
    <row r="55" spans="1:17" x14ac:dyDescent="0.35">
      <c r="A55" s="1" t="s">
        <v>10</v>
      </c>
      <c r="B55" s="5">
        <f t="shared" si="8"/>
        <v>18</v>
      </c>
      <c r="C55" s="3">
        <v>18</v>
      </c>
      <c r="D55" s="13">
        <f t="shared" si="9"/>
        <v>0</v>
      </c>
      <c r="E55" s="4">
        <v>2.1999999999999999E-2</v>
      </c>
      <c r="F55" s="3">
        <v>18</v>
      </c>
      <c r="G55" s="2">
        <f t="shared" si="10"/>
        <v>0</v>
      </c>
      <c r="H55" s="4">
        <v>2.9999999329447746E-2</v>
      </c>
      <c r="J55" s="14" t="s">
        <v>10</v>
      </c>
      <c r="K55" s="5">
        <f t="shared" si="11"/>
        <v>18</v>
      </c>
      <c r="L55" s="3">
        <v>18</v>
      </c>
      <c r="M55" s="13">
        <f t="shared" si="12"/>
        <v>0</v>
      </c>
      <c r="N55" s="4">
        <v>2.1999999999999999E-2</v>
      </c>
      <c r="O55" s="3">
        <v>18</v>
      </c>
      <c r="P55" s="13">
        <f t="shared" si="13"/>
        <v>0</v>
      </c>
      <c r="Q55" s="4">
        <v>2.9999999329447746E-2</v>
      </c>
    </row>
    <row r="56" spans="1:17" x14ac:dyDescent="0.35">
      <c r="A56" s="1" t="s">
        <v>11</v>
      </c>
      <c r="B56" s="5">
        <f t="shared" si="8"/>
        <v>36</v>
      </c>
      <c r="C56" s="3">
        <v>36</v>
      </c>
      <c r="D56" s="13">
        <f t="shared" si="9"/>
        <v>0</v>
      </c>
      <c r="E56" s="4">
        <v>3.5000000000000003E-2</v>
      </c>
      <c r="F56" s="3">
        <v>36</v>
      </c>
      <c r="G56" s="2">
        <f t="shared" si="10"/>
        <v>0</v>
      </c>
      <c r="H56" s="4">
        <v>2.8999999165534973E-2</v>
      </c>
      <c r="J56" s="14" t="s">
        <v>11</v>
      </c>
      <c r="K56" s="5">
        <f t="shared" si="11"/>
        <v>36</v>
      </c>
      <c r="L56" s="3">
        <v>36</v>
      </c>
      <c r="M56" s="13">
        <f t="shared" si="12"/>
        <v>0</v>
      </c>
      <c r="N56" s="4">
        <v>3.5000000000000003E-2</v>
      </c>
      <c r="O56" s="3">
        <v>36</v>
      </c>
      <c r="P56" s="13">
        <f t="shared" si="13"/>
        <v>0</v>
      </c>
      <c r="Q56" s="4">
        <v>2.8999999165534973E-2</v>
      </c>
    </row>
    <row r="57" spans="1:17" x14ac:dyDescent="0.35">
      <c r="A57" s="1" t="s">
        <v>12</v>
      </c>
      <c r="B57" s="5">
        <f t="shared" si="8"/>
        <v>57</v>
      </c>
      <c r="C57" s="3">
        <v>57</v>
      </c>
      <c r="D57" s="13">
        <f t="shared" si="9"/>
        <v>0</v>
      </c>
      <c r="E57" s="4">
        <v>0.105999999</v>
      </c>
      <c r="F57" s="3">
        <v>57</v>
      </c>
      <c r="G57" s="2">
        <f t="shared" si="10"/>
        <v>0</v>
      </c>
      <c r="H57" s="4">
        <v>7.9999998211860657E-2</v>
      </c>
      <c r="J57" s="14" t="s">
        <v>12</v>
      </c>
      <c r="K57" s="5">
        <f t="shared" si="11"/>
        <v>57</v>
      </c>
      <c r="L57" s="3">
        <v>57</v>
      </c>
      <c r="M57" s="13">
        <f t="shared" si="12"/>
        <v>0</v>
      </c>
      <c r="N57" s="4">
        <v>0.105999999</v>
      </c>
      <c r="O57" s="3">
        <v>57</v>
      </c>
      <c r="P57" s="13">
        <f t="shared" si="13"/>
        <v>0</v>
      </c>
      <c r="Q57" s="4">
        <v>7.9999998211860657E-2</v>
      </c>
    </row>
    <row r="58" spans="1:17" x14ac:dyDescent="0.35">
      <c r="A58" s="1" t="s">
        <v>13</v>
      </c>
      <c r="B58" s="5">
        <f t="shared" si="8"/>
        <v>66</v>
      </c>
      <c r="C58" s="3">
        <v>66</v>
      </c>
      <c r="D58" s="13">
        <f t="shared" si="9"/>
        <v>0</v>
      </c>
      <c r="E58" s="4">
        <v>0.101000004</v>
      </c>
      <c r="F58" s="3">
        <v>69</v>
      </c>
      <c r="G58" s="2">
        <f t="shared" si="10"/>
        <v>4.5454545454545456E-2</v>
      </c>
      <c r="H58" s="4">
        <v>7.0000000298023224E-2</v>
      </c>
      <c r="J58" s="14" t="s">
        <v>13</v>
      </c>
      <c r="K58" s="5">
        <f t="shared" si="11"/>
        <v>66</v>
      </c>
      <c r="L58" s="3">
        <v>66</v>
      </c>
      <c r="M58" s="13">
        <f t="shared" si="12"/>
        <v>0</v>
      </c>
      <c r="N58" s="4">
        <v>0.101000004</v>
      </c>
      <c r="O58" s="3">
        <v>69</v>
      </c>
      <c r="P58" s="13">
        <f t="shared" si="13"/>
        <v>4.5454545454545456E-2</v>
      </c>
      <c r="Q58" s="4">
        <v>7.0000000298023224E-2</v>
      </c>
    </row>
    <row r="59" spans="1:17" x14ac:dyDescent="0.35">
      <c r="A59" s="1" t="s">
        <v>14</v>
      </c>
      <c r="B59" s="5">
        <f t="shared" si="8"/>
        <v>12</v>
      </c>
      <c r="C59" s="3">
        <v>12</v>
      </c>
      <c r="D59" s="13">
        <f t="shared" si="9"/>
        <v>0</v>
      </c>
      <c r="E59" s="4">
        <v>7.0000000000000001E-3</v>
      </c>
      <c r="F59" s="3">
        <v>12</v>
      </c>
      <c r="G59" s="2">
        <f t="shared" si="10"/>
        <v>0</v>
      </c>
      <c r="H59" s="4">
        <v>6.0000000521540642E-3</v>
      </c>
      <c r="J59" s="14" t="s">
        <v>14</v>
      </c>
      <c r="K59" s="5">
        <f t="shared" si="11"/>
        <v>12</v>
      </c>
      <c r="L59" s="3">
        <v>12</v>
      </c>
      <c r="M59" s="13">
        <f t="shared" si="12"/>
        <v>0</v>
      </c>
      <c r="N59" s="4">
        <v>7.0000000000000001E-3</v>
      </c>
      <c r="O59" s="3">
        <v>12</v>
      </c>
      <c r="P59" s="13">
        <f t="shared" si="13"/>
        <v>0</v>
      </c>
      <c r="Q59" s="4">
        <v>6.0000000521540642E-3</v>
      </c>
    </row>
    <row r="60" spans="1:17" x14ac:dyDescent="0.35">
      <c r="A60" s="1" t="s">
        <v>15</v>
      </c>
      <c r="B60" s="5">
        <f t="shared" si="8"/>
        <v>18</v>
      </c>
      <c r="C60" s="3">
        <v>18</v>
      </c>
      <c r="D60" s="13">
        <f t="shared" si="9"/>
        <v>0</v>
      </c>
      <c r="E60" s="4">
        <v>1.6000001E-2</v>
      </c>
      <c r="F60" s="3">
        <v>18</v>
      </c>
      <c r="G60" s="2">
        <f t="shared" si="10"/>
        <v>0</v>
      </c>
      <c r="H60" s="4">
        <v>1.2000000104308128E-2</v>
      </c>
      <c r="J60" s="14" t="s">
        <v>15</v>
      </c>
      <c r="K60" s="5">
        <f t="shared" si="11"/>
        <v>18</v>
      </c>
      <c r="L60" s="3">
        <v>18</v>
      </c>
      <c r="M60" s="13">
        <f t="shared" si="12"/>
        <v>0</v>
      </c>
      <c r="N60" s="4">
        <v>1.6000001E-2</v>
      </c>
      <c r="O60" s="3">
        <v>18</v>
      </c>
      <c r="P60" s="13">
        <f t="shared" si="13"/>
        <v>0</v>
      </c>
      <c r="Q60" s="4">
        <v>1.2000000104308128E-2</v>
      </c>
    </row>
    <row r="61" spans="1:17" x14ac:dyDescent="0.35">
      <c r="A61" s="1" t="s">
        <v>16</v>
      </c>
      <c r="B61" s="5">
        <f t="shared" si="8"/>
        <v>46</v>
      </c>
      <c r="C61" s="3">
        <v>46</v>
      </c>
      <c r="D61" s="13">
        <f t="shared" si="9"/>
        <v>0</v>
      </c>
      <c r="E61" s="4">
        <v>1.6000001E-2</v>
      </c>
      <c r="F61" s="3">
        <v>46</v>
      </c>
      <c r="G61" s="2">
        <f t="shared" si="10"/>
        <v>0</v>
      </c>
      <c r="H61" s="4">
        <v>1.7000000923871994E-2</v>
      </c>
      <c r="J61" s="14" t="s">
        <v>16</v>
      </c>
      <c r="K61" s="5">
        <f t="shared" si="11"/>
        <v>45</v>
      </c>
      <c r="L61" s="3">
        <v>46</v>
      </c>
      <c r="M61" s="13">
        <f t="shared" si="12"/>
        <v>2.2222222222222223E-2</v>
      </c>
      <c r="N61" s="4">
        <v>1.6000001E-2</v>
      </c>
      <c r="O61" s="3">
        <v>45</v>
      </c>
      <c r="P61" s="13">
        <f t="shared" si="13"/>
        <v>0</v>
      </c>
      <c r="Q61" s="4">
        <v>1.7000000923871994E-2</v>
      </c>
    </row>
    <row r="62" spans="1:17" x14ac:dyDescent="0.35">
      <c r="A62" s="1" t="s">
        <v>17</v>
      </c>
      <c r="B62" s="5">
        <f t="shared" si="8"/>
        <v>23</v>
      </c>
      <c r="C62" s="3">
        <v>23</v>
      </c>
      <c r="D62" s="13">
        <f t="shared" si="9"/>
        <v>0</v>
      </c>
      <c r="E62" s="4">
        <v>4.3000001000000003E-2</v>
      </c>
      <c r="F62" s="3">
        <v>23</v>
      </c>
      <c r="G62" s="2">
        <f t="shared" si="10"/>
        <v>0</v>
      </c>
      <c r="H62" s="4">
        <v>2.500000037252903E-2</v>
      </c>
      <c r="J62" s="14" t="s">
        <v>17</v>
      </c>
      <c r="K62" s="5">
        <f t="shared" si="11"/>
        <v>23</v>
      </c>
      <c r="L62" s="3">
        <v>23</v>
      </c>
      <c r="M62" s="13">
        <f t="shared" si="12"/>
        <v>0</v>
      </c>
      <c r="N62" s="4">
        <v>4.3000001000000003E-2</v>
      </c>
      <c r="O62" s="3">
        <v>23</v>
      </c>
      <c r="P62" s="13">
        <f t="shared" si="13"/>
        <v>0</v>
      </c>
      <c r="Q62" s="4">
        <v>2.500000037252903E-2</v>
      </c>
    </row>
    <row r="63" spans="1:17" x14ac:dyDescent="0.35">
      <c r="A63" s="1" t="s">
        <v>18</v>
      </c>
      <c r="B63" s="5">
        <f t="shared" si="8"/>
        <v>78</v>
      </c>
      <c r="C63" s="3">
        <v>78</v>
      </c>
      <c r="D63" s="13">
        <f t="shared" si="9"/>
        <v>0</v>
      </c>
      <c r="E63" s="4">
        <v>0.25299999099999998</v>
      </c>
      <c r="F63" s="3">
        <v>78</v>
      </c>
      <c r="G63" s="2">
        <f t="shared" si="10"/>
        <v>0</v>
      </c>
      <c r="H63" s="4">
        <v>0.16200000047683716</v>
      </c>
      <c r="J63" s="14" t="s">
        <v>18</v>
      </c>
      <c r="K63" s="5">
        <f t="shared" si="11"/>
        <v>78</v>
      </c>
      <c r="L63" s="3">
        <v>78</v>
      </c>
      <c r="M63" s="13">
        <f t="shared" si="12"/>
        <v>0</v>
      </c>
      <c r="N63" s="4">
        <v>0.25299999099999998</v>
      </c>
      <c r="O63" s="3">
        <v>80</v>
      </c>
      <c r="P63" s="13">
        <f t="shared" si="13"/>
        <v>2.564102564102564E-2</v>
      </c>
      <c r="Q63" s="4">
        <v>0.16200000047683716</v>
      </c>
    </row>
    <row r="64" spans="1:17" x14ac:dyDescent="0.35">
      <c r="A64" s="1" t="s">
        <v>19</v>
      </c>
      <c r="B64" s="5">
        <f t="shared" si="8"/>
        <v>87</v>
      </c>
      <c r="C64" s="3">
        <v>87</v>
      </c>
      <c r="D64" s="13">
        <f t="shared" si="9"/>
        <v>0</v>
      </c>
      <c r="E64" s="4">
        <v>0.54199999600000004</v>
      </c>
      <c r="F64" s="3">
        <v>87</v>
      </c>
      <c r="G64" s="2">
        <f t="shared" si="10"/>
        <v>0</v>
      </c>
      <c r="H64" s="4">
        <v>0.39500001072883606</v>
      </c>
      <c r="J64" s="14" t="s">
        <v>19</v>
      </c>
      <c r="K64" s="5">
        <f t="shared" si="11"/>
        <v>87</v>
      </c>
      <c r="L64" s="3">
        <v>87</v>
      </c>
      <c r="M64" s="13">
        <f t="shared" si="12"/>
        <v>0</v>
      </c>
      <c r="N64" s="4">
        <v>0.54199999600000004</v>
      </c>
      <c r="O64" s="3">
        <v>88</v>
      </c>
      <c r="P64" s="13">
        <f t="shared" si="13"/>
        <v>1.1494252873563218E-2</v>
      </c>
      <c r="Q64" s="4">
        <v>0.39500001072883606</v>
      </c>
    </row>
    <row r="65" spans="1:17" x14ac:dyDescent="0.35">
      <c r="A65" s="1" t="s">
        <v>20</v>
      </c>
      <c r="B65" s="5">
        <f t="shared" si="8"/>
        <v>91</v>
      </c>
      <c r="C65" s="3">
        <v>91</v>
      </c>
      <c r="D65" s="13">
        <f t="shared" si="9"/>
        <v>0</v>
      </c>
      <c r="E65" s="4">
        <v>0.36300000500000001</v>
      </c>
      <c r="F65" s="3">
        <v>91</v>
      </c>
      <c r="G65" s="2">
        <f t="shared" si="10"/>
        <v>0</v>
      </c>
      <c r="H65" s="4">
        <v>0.15199999511241913</v>
      </c>
      <c r="J65" s="14" t="s">
        <v>20</v>
      </c>
      <c r="K65" s="5">
        <f t="shared" si="11"/>
        <v>91</v>
      </c>
      <c r="L65" s="3">
        <v>91</v>
      </c>
      <c r="M65" s="13">
        <f t="shared" si="12"/>
        <v>0</v>
      </c>
      <c r="N65" s="4">
        <v>0.36300000500000001</v>
      </c>
      <c r="O65" s="3">
        <v>91</v>
      </c>
      <c r="P65" s="13">
        <f t="shared" si="13"/>
        <v>0</v>
      </c>
      <c r="Q65" s="4">
        <v>0.15199999511241913</v>
      </c>
    </row>
    <row r="66" spans="1:17" x14ac:dyDescent="0.35">
      <c r="A66" s="1" t="s">
        <v>21</v>
      </c>
      <c r="B66" s="5">
        <f t="shared" si="8"/>
        <v>157</v>
      </c>
      <c r="C66" s="3">
        <v>157</v>
      </c>
      <c r="D66" s="13">
        <f t="shared" si="9"/>
        <v>0</v>
      </c>
      <c r="E66" s="4">
        <v>1.307000041</v>
      </c>
      <c r="F66" s="3">
        <v>160</v>
      </c>
      <c r="G66" s="2">
        <f t="shared" si="10"/>
        <v>1.9108280254777069E-2</v>
      </c>
      <c r="H66" s="4">
        <v>0.27099999785423279</v>
      </c>
      <c r="J66" s="14" t="s">
        <v>21</v>
      </c>
      <c r="K66" s="5">
        <f t="shared" si="11"/>
        <v>157</v>
      </c>
      <c r="L66" s="3">
        <v>157</v>
      </c>
      <c r="M66" s="13">
        <f t="shared" si="12"/>
        <v>0</v>
      </c>
      <c r="N66" s="4">
        <v>1.307000041</v>
      </c>
      <c r="O66" s="3">
        <v>161</v>
      </c>
      <c r="P66" s="13">
        <f t="shared" si="13"/>
        <v>2.5477707006369428E-2</v>
      </c>
      <c r="Q66" s="4">
        <v>0.27099999785423279</v>
      </c>
    </row>
    <row r="67" spans="1:17" x14ac:dyDescent="0.35">
      <c r="A67" s="1" t="s">
        <v>22</v>
      </c>
      <c r="B67" s="5">
        <f t="shared" si="8"/>
        <v>43</v>
      </c>
      <c r="C67" s="3">
        <v>43</v>
      </c>
      <c r="D67" s="13">
        <f t="shared" si="9"/>
        <v>0</v>
      </c>
      <c r="E67" s="4">
        <v>8.9999999999999993E-3</v>
      </c>
      <c r="F67" s="3">
        <v>44</v>
      </c>
      <c r="G67" s="2">
        <f t="shared" si="10"/>
        <v>2.3255813953488372E-2</v>
      </c>
      <c r="H67" s="4">
        <v>6.0000000521540642E-3</v>
      </c>
      <c r="J67" s="14" t="s">
        <v>22</v>
      </c>
      <c r="K67" s="5">
        <f t="shared" si="11"/>
        <v>43</v>
      </c>
      <c r="L67" s="3">
        <v>43</v>
      </c>
      <c r="M67" s="13">
        <f t="shared" si="12"/>
        <v>0</v>
      </c>
      <c r="N67" s="4">
        <v>8.9999999999999993E-3</v>
      </c>
      <c r="O67" s="3">
        <v>43</v>
      </c>
      <c r="P67" s="13">
        <f t="shared" si="13"/>
        <v>0</v>
      </c>
      <c r="Q67" s="4">
        <v>6.0000000521540642E-3</v>
      </c>
    </row>
    <row r="68" spans="1:17" x14ac:dyDescent="0.35">
      <c r="A68" s="1" t="s">
        <v>23</v>
      </c>
      <c r="B68" s="5">
        <f t="shared" si="8"/>
        <v>39</v>
      </c>
      <c r="C68" s="3">
        <v>41</v>
      </c>
      <c r="D68" s="13">
        <f t="shared" si="9"/>
        <v>5.128205128205128E-2</v>
      </c>
      <c r="E68" s="4">
        <v>2.8000001E-2</v>
      </c>
      <c r="F68" s="3">
        <v>39</v>
      </c>
      <c r="G68" s="2">
        <f t="shared" si="10"/>
        <v>0</v>
      </c>
      <c r="H68" s="4">
        <v>9.9999997764825821E-3</v>
      </c>
      <c r="J68" s="14" t="s">
        <v>23</v>
      </c>
      <c r="K68" s="5">
        <f t="shared" si="11"/>
        <v>41</v>
      </c>
      <c r="L68" s="3">
        <v>41</v>
      </c>
      <c r="M68" s="13">
        <f t="shared" si="12"/>
        <v>0</v>
      </c>
      <c r="N68" s="4">
        <v>2.8000001E-2</v>
      </c>
      <c r="O68" s="3">
        <v>43</v>
      </c>
      <c r="P68" s="13">
        <f t="shared" si="13"/>
        <v>4.878048780487805E-2</v>
      </c>
      <c r="Q68" s="4">
        <v>9.9999997764825821E-3</v>
      </c>
    </row>
    <row r="69" spans="1:17" x14ac:dyDescent="0.35">
      <c r="A69" s="1" t="s">
        <v>24</v>
      </c>
      <c r="B69" s="5">
        <f t="shared" si="8"/>
        <v>70</v>
      </c>
      <c r="C69" s="3">
        <v>70</v>
      </c>
      <c r="D69" s="13">
        <f t="shared" si="9"/>
        <v>0</v>
      </c>
      <c r="E69" s="4">
        <v>8.0000000000000002E-3</v>
      </c>
      <c r="F69" s="3">
        <v>70</v>
      </c>
      <c r="G69" s="2">
        <f t="shared" si="10"/>
        <v>0</v>
      </c>
      <c r="H69" s="4">
        <v>4.999999888241291E-3</v>
      </c>
      <c r="J69" s="14" t="s">
        <v>24</v>
      </c>
      <c r="K69" s="5">
        <f t="shared" si="11"/>
        <v>70</v>
      </c>
      <c r="L69" s="3">
        <v>70</v>
      </c>
      <c r="M69" s="13">
        <f t="shared" si="12"/>
        <v>0</v>
      </c>
      <c r="N69" s="4">
        <v>8.0000000000000002E-3</v>
      </c>
      <c r="O69" s="3">
        <v>70</v>
      </c>
      <c r="P69" s="13">
        <f t="shared" si="13"/>
        <v>0</v>
      </c>
      <c r="Q69" s="4">
        <v>4.999999888241291E-3</v>
      </c>
    </row>
    <row r="70" spans="1:17" x14ac:dyDescent="0.35">
      <c r="A70" s="1" t="s">
        <v>25</v>
      </c>
      <c r="B70" s="5">
        <f t="shared" si="8"/>
        <v>45</v>
      </c>
      <c r="C70" s="3">
        <v>45</v>
      </c>
      <c r="D70" s="13">
        <f t="shared" si="9"/>
        <v>0</v>
      </c>
      <c r="E70" s="4">
        <v>9.1999999999999998E-2</v>
      </c>
      <c r="F70" s="3">
        <v>45</v>
      </c>
      <c r="G70" s="2">
        <f t="shared" si="10"/>
        <v>0</v>
      </c>
      <c r="H70" s="4">
        <v>2.199999988079071E-2</v>
      </c>
      <c r="J70" s="14" t="s">
        <v>25</v>
      </c>
      <c r="K70" s="5">
        <f t="shared" si="11"/>
        <v>45</v>
      </c>
      <c r="L70" s="3">
        <v>45</v>
      </c>
      <c r="M70" s="13">
        <f t="shared" si="12"/>
        <v>0</v>
      </c>
      <c r="N70" s="4">
        <v>9.1999999999999998E-2</v>
      </c>
      <c r="O70" s="3">
        <v>45</v>
      </c>
      <c r="P70" s="13">
        <f t="shared" si="13"/>
        <v>0</v>
      </c>
      <c r="Q70" s="4">
        <v>2.199999988079071E-2</v>
      </c>
    </row>
    <row r="71" spans="1:17" x14ac:dyDescent="0.35">
      <c r="A71" s="1" t="s">
        <v>26</v>
      </c>
      <c r="B71" s="5">
        <f t="shared" si="8"/>
        <v>84</v>
      </c>
      <c r="C71" s="3">
        <v>84</v>
      </c>
      <c r="D71" s="13">
        <f t="shared" si="9"/>
        <v>0</v>
      </c>
      <c r="E71" s="4">
        <v>0.187000006</v>
      </c>
      <c r="F71" s="3">
        <v>84</v>
      </c>
      <c r="G71" s="2">
        <f t="shared" si="10"/>
        <v>0</v>
      </c>
      <c r="H71" s="4">
        <v>6.8000003695487976E-2</v>
      </c>
      <c r="J71" s="14" t="s">
        <v>26</v>
      </c>
      <c r="K71" s="5">
        <f t="shared" si="11"/>
        <v>84</v>
      </c>
      <c r="L71" s="3">
        <v>84</v>
      </c>
      <c r="M71" s="13">
        <f t="shared" si="12"/>
        <v>0</v>
      </c>
      <c r="N71" s="4">
        <v>0.187000006</v>
      </c>
      <c r="O71" s="3">
        <v>84</v>
      </c>
      <c r="P71" s="13">
        <f t="shared" si="13"/>
        <v>0</v>
      </c>
      <c r="Q71" s="4">
        <v>6.8000003695487976E-2</v>
      </c>
    </row>
    <row r="72" spans="1:17" x14ac:dyDescent="0.35">
      <c r="A72" s="1" t="s">
        <v>27</v>
      </c>
      <c r="B72" s="5">
        <f t="shared" si="8"/>
        <v>6</v>
      </c>
      <c r="C72" s="3">
        <v>6</v>
      </c>
      <c r="D72" s="13">
        <f t="shared" si="9"/>
        <v>0</v>
      </c>
      <c r="E72" s="4">
        <v>8.2999997000000006E-2</v>
      </c>
      <c r="F72" s="3">
        <v>6</v>
      </c>
      <c r="G72" s="2">
        <f t="shared" si="10"/>
        <v>0</v>
      </c>
      <c r="H72" s="4">
        <v>4.8999998718500137E-2</v>
      </c>
      <c r="J72" s="14" t="s">
        <v>27</v>
      </c>
      <c r="K72" s="5">
        <f t="shared" si="11"/>
        <v>6</v>
      </c>
      <c r="L72" s="3">
        <v>6</v>
      </c>
      <c r="M72" s="13">
        <f t="shared" si="12"/>
        <v>0</v>
      </c>
      <c r="N72" s="4">
        <v>8.2999997000000006E-2</v>
      </c>
      <c r="O72" s="3">
        <v>6</v>
      </c>
      <c r="P72" s="13">
        <f t="shared" si="13"/>
        <v>0</v>
      </c>
      <c r="Q72" s="4">
        <v>4.8999998718500137E-2</v>
      </c>
    </row>
    <row r="73" spans="1:17" x14ac:dyDescent="0.35">
      <c r="A73" s="1" t="s">
        <v>28</v>
      </c>
      <c r="B73" s="5">
        <f t="shared" si="8"/>
        <v>59</v>
      </c>
      <c r="C73" s="3">
        <v>59</v>
      </c>
      <c r="D73" s="13">
        <f t="shared" si="9"/>
        <v>0</v>
      </c>
      <c r="E73" s="4">
        <v>0.26499998600000002</v>
      </c>
      <c r="F73" s="3">
        <v>59</v>
      </c>
      <c r="G73" s="2">
        <f t="shared" si="10"/>
        <v>0</v>
      </c>
      <c r="H73" s="4">
        <v>0.12300000339746475</v>
      </c>
      <c r="J73" s="14" t="s">
        <v>28</v>
      </c>
      <c r="K73" s="5">
        <f t="shared" si="11"/>
        <v>59</v>
      </c>
      <c r="L73" s="3">
        <v>59</v>
      </c>
      <c r="M73" s="13">
        <f t="shared" si="12"/>
        <v>0</v>
      </c>
      <c r="N73" s="4">
        <v>0.26499998600000002</v>
      </c>
      <c r="O73" s="3">
        <v>59</v>
      </c>
      <c r="P73" s="13">
        <f t="shared" si="13"/>
        <v>0</v>
      </c>
      <c r="Q73" s="4">
        <v>0.12300000339746475</v>
      </c>
    </row>
    <row r="74" spans="1:17" x14ac:dyDescent="0.35">
      <c r="A74" s="1" t="s">
        <v>29</v>
      </c>
      <c r="B74" s="5">
        <f t="shared" si="8"/>
        <v>19</v>
      </c>
      <c r="C74" s="3">
        <v>19</v>
      </c>
      <c r="D74" s="13">
        <f t="shared" si="9"/>
        <v>0</v>
      </c>
      <c r="E74" s="4">
        <v>0.01</v>
      </c>
      <c r="F74" s="3">
        <v>19</v>
      </c>
      <c r="G74" s="2">
        <f t="shared" si="10"/>
        <v>0</v>
      </c>
      <c r="H74" s="4">
        <v>1.2000000104308128E-2</v>
      </c>
      <c r="J74" s="14" t="s">
        <v>29</v>
      </c>
      <c r="K74" s="5">
        <f t="shared" si="11"/>
        <v>19</v>
      </c>
      <c r="L74" s="3">
        <v>19</v>
      </c>
      <c r="M74" s="13">
        <f t="shared" si="12"/>
        <v>0</v>
      </c>
      <c r="N74" s="4">
        <v>0.01</v>
      </c>
      <c r="O74" s="3">
        <v>19</v>
      </c>
      <c r="P74" s="13">
        <f t="shared" si="13"/>
        <v>0</v>
      </c>
      <c r="Q74" s="4">
        <v>1.2000000104308128E-2</v>
      </c>
    </row>
    <row r="75" spans="1:17" x14ac:dyDescent="0.35">
      <c r="A75" s="1" t="s">
        <v>30</v>
      </c>
      <c r="B75" s="5">
        <f t="shared" si="8"/>
        <v>25</v>
      </c>
      <c r="C75" s="3">
        <v>25</v>
      </c>
      <c r="D75" s="13">
        <f t="shared" si="9"/>
        <v>0</v>
      </c>
      <c r="E75" s="4">
        <v>5.9999998999999998E-2</v>
      </c>
      <c r="F75" s="3">
        <v>25</v>
      </c>
      <c r="G75" s="2">
        <f t="shared" si="10"/>
        <v>0</v>
      </c>
      <c r="H75" s="4">
        <v>0.11500000208616257</v>
      </c>
      <c r="J75" s="14" t="s">
        <v>30</v>
      </c>
      <c r="K75" s="5">
        <f t="shared" si="11"/>
        <v>25</v>
      </c>
      <c r="L75" s="3">
        <v>25</v>
      </c>
      <c r="M75" s="13">
        <f t="shared" si="12"/>
        <v>0</v>
      </c>
      <c r="N75" s="4">
        <v>5.9999998999999998E-2</v>
      </c>
      <c r="O75" s="3">
        <v>25</v>
      </c>
      <c r="P75" s="13">
        <f t="shared" si="13"/>
        <v>0</v>
      </c>
      <c r="Q75" s="4">
        <v>0.11500000208616257</v>
      </c>
    </row>
    <row r="76" spans="1:17" x14ac:dyDescent="0.35">
      <c r="A76" s="1" t="s">
        <v>31</v>
      </c>
      <c r="B76" s="5">
        <f t="shared" si="8"/>
        <v>71</v>
      </c>
      <c r="C76" s="3">
        <v>71</v>
      </c>
      <c r="D76" s="13">
        <f t="shared" si="9"/>
        <v>0</v>
      </c>
      <c r="E76" s="4">
        <v>0.189999998</v>
      </c>
      <c r="F76" s="3">
        <v>71</v>
      </c>
      <c r="G76" s="2">
        <f t="shared" si="10"/>
        <v>0</v>
      </c>
      <c r="H76" s="4">
        <v>9.6000000834465027E-2</v>
      </c>
      <c r="J76" s="14" t="s">
        <v>31</v>
      </c>
      <c r="K76" s="5">
        <f t="shared" si="11"/>
        <v>71</v>
      </c>
      <c r="L76" s="3">
        <v>71</v>
      </c>
      <c r="M76" s="13">
        <f t="shared" si="12"/>
        <v>0</v>
      </c>
      <c r="N76" s="4">
        <v>0.189999998</v>
      </c>
      <c r="O76" s="3">
        <v>71</v>
      </c>
      <c r="P76" s="13">
        <f t="shared" si="13"/>
        <v>0</v>
      </c>
      <c r="Q76" s="4">
        <v>9.6000000834465027E-2</v>
      </c>
    </row>
    <row r="77" spans="1:17" x14ac:dyDescent="0.35">
      <c r="A77" s="1" t="s">
        <v>32</v>
      </c>
      <c r="B77" s="5">
        <f t="shared" si="8"/>
        <v>3</v>
      </c>
      <c r="C77" s="3">
        <v>3</v>
      </c>
      <c r="D77" s="13">
        <f t="shared" si="9"/>
        <v>0</v>
      </c>
      <c r="E77" s="4">
        <v>2E-3</v>
      </c>
      <c r="F77" s="3">
        <v>3</v>
      </c>
      <c r="G77" s="2">
        <f t="shared" si="10"/>
        <v>0</v>
      </c>
      <c r="H77" s="4">
        <v>4.999999888241291E-3</v>
      </c>
      <c r="J77" s="14" t="s">
        <v>32</v>
      </c>
      <c r="K77" s="5">
        <f t="shared" si="11"/>
        <v>3</v>
      </c>
      <c r="L77" s="3">
        <v>3</v>
      </c>
      <c r="M77" s="13">
        <f t="shared" si="12"/>
        <v>0</v>
      </c>
      <c r="N77" s="4">
        <v>2E-3</v>
      </c>
      <c r="O77" s="3">
        <v>3</v>
      </c>
      <c r="P77" s="13">
        <f t="shared" si="13"/>
        <v>0</v>
      </c>
      <c r="Q77" s="4">
        <v>4.999999888241291E-3</v>
      </c>
    </row>
    <row r="78" spans="1:17" x14ac:dyDescent="0.35">
      <c r="A78" s="1" t="s">
        <v>33</v>
      </c>
      <c r="B78" s="5">
        <f t="shared" si="8"/>
        <v>3</v>
      </c>
      <c r="C78" s="3">
        <v>3</v>
      </c>
      <c r="D78" s="13">
        <f t="shared" si="9"/>
        <v>0</v>
      </c>
      <c r="E78" s="4">
        <v>5.0000000000000001E-3</v>
      </c>
      <c r="F78" s="3">
        <v>3</v>
      </c>
      <c r="G78" s="2">
        <f t="shared" si="10"/>
        <v>0</v>
      </c>
      <c r="H78" s="4">
        <v>9.9999997764825821E-3</v>
      </c>
      <c r="J78" s="14" t="s">
        <v>33</v>
      </c>
      <c r="K78" s="5">
        <f t="shared" si="11"/>
        <v>3</v>
      </c>
      <c r="L78" s="3">
        <v>3</v>
      </c>
      <c r="M78" s="13">
        <f t="shared" si="12"/>
        <v>0</v>
      </c>
      <c r="N78" s="4">
        <v>5.0000000000000001E-3</v>
      </c>
      <c r="O78" s="3">
        <v>3</v>
      </c>
      <c r="P78" s="13">
        <f t="shared" si="13"/>
        <v>0</v>
      </c>
      <c r="Q78" s="4">
        <v>9.9999997764825821E-3</v>
      </c>
    </row>
    <row r="79" spans="1:17" x14ac:dyDescent="0.35">
      <c r="A79" s="1" t="s">
        <v>34</v>
      </c>
      <c r="B79" s="5">
        <f t="shared" si="8"/>
        <v>135</v>
      </c>
      <c r="C79" s="3">
        <v>135</v>
      </c>
      <c r="D79" s="13">
        <f t="shared" si="9"/>
        <v>0</v>
      </c>
      <c r="E79" s="4">
        <v>0.375</v>
      </c>
      <c r="F79" s="3">
        <v>137</v>
      </c>
      <c r="G79" s="2">
        <f t="shared" si="10"/>
        <v>1.4814814814814815E-2</v>
      </c>
      <c r="H79" s="4">
        <v>0.18199999630451202</v>
      </c>
      <c r="J79" s="14" t="s">
        <v>34</v>
      </c>
      <c r="K79" s="5">
        <f t="shared" si="11"/>
        <v>135</v>
      </c>
      <c r="L79" s="3">
        <v>135</v>
      </c>
      <c r="M79" s="13">
        <f t="shared" si="12"/>
        <v>0</v>
      </c>
      <c r="N79" s="4">
        <v>0.375</v>
      </c>
      <c r="O79" s="3">
        <v>139</v>
      </c>
      <c r="P79" s="13">
        <f t="shared" si="13"/>
        <v>2.9629629629629631E-2</v>
      </c>
      <c r="Q79" s="4">
        <v>0.18199999630451202</v>
      </c>
    </row>
    <row r="80" spans="1:17" x14ac:dyDescent="0.35">
      <c r="A80" s="1" t="s">
        <v>35</v>
      </c>
      <c r="B80" s="5">
        <f t="shared" si="8"/>
        <v>63</v>
      </c>
      <c r="C80" s="3">
        <v>63</v>
      </c>
      <c r="D80" s="13">
        <f t="shared" si="9"/>
        <v>0</v>
      </c>
      <c r="E80" s="4">
        <v>9.3000001999999998E-2</v>
      </c>
      <c r="F80" s="3">
        <v>63</v>
      </c>
      <c r="G80" s="2">
        <f t="shared" si="10"/>
        <v>0</v>
      </c>
      <c r="H80" s="4">
        <v>5.000000074505806E-2</v>
      </c>
      <c r="J80" s="14" t="s">
        <v>35</v>
      </c>
      <c r="K80" s="5">
        <f t="shared" si="11"/>
        <v>61</v>
      </c>
      <c r="L80" s="3">
        <v>63</v>
      </c>
      <c r="M80" s="13">
        <f t="shared" si="12"/>
        <v>3.2786885245901641E-2</v>
      </c>
      <c r="N80" s="4">
        <v>9.3000001999999998E-2</v>
      </c>
      <c r="O80" s="3">
        <v>61</v>
      </c>
      <c r="P80" s="13">
        <f t="shared" si="13"/>
        <v>0</v>
      </c>
      <c r="Q80" s="4">
        <v>5.000000074505806E-2</v>
      </c>
    </row>
    <row r="81" spans="1:17" x14ac:dyDescent="0.35">
      <c r="A81" s="1" t="s">
        <v>36</v>
      </c>
      <c r="B81" s="5">
        <f t="shared" si="8"/>
        <v>11</v>
      </c>
      <c r="C81" s="3">
        <v>11</v>
      </c>
      <c r="D81" s="13">
        <f t="shared" si="9"/>
        <v>0</v>
      </c>
      <c r="E81" s="4">
        <v>3.3000000000000002E-2</v>
      </c>
      <c r="F81" s="3">
        <v>11</v>
      </c>
      <c r="G81" s="2">
        <f t="shared" si="10"/>
        <v>0</v>
      </c>
      <c r="H81" s="4">
        <v>3.0999999493360519E-2</v>
      </c>
      <c r="J81" s="14" t="s">
        <v>36</v>
      </c>
      <c r="K81" s="5">
        <f t="shared" si="11"/>
        <v>11</v>
      </c>
      <c r="L81" s="3">
        <v>11</v>
      </c>
      <c r="M81" s="13">
        <f t="shared" si="12"/>
        <v>0</v>
      </c>
      <c r="N81" s="4">
        <v>3.3000000000000002E-2</v>
      </c>
      <c r="O81" s="3">
        <v>11</v>
      </c>
      <c r="P81" s="13">
        <f t="shared" si="13"/>
        <v>0</v>
      </c>
      <c r="Q81" s="4">
        <v>3.0999999493360519E-2</v>
      </c>
    </row>
    <row r="82" spans="1:17" x14ac:dyDescent="0.35">
      <c r="A82" s="1" t="s">
        <v>37</v>
      </c>
      <c r="B82" s="5">
        <f t="shared" si="8"/>
        <v>2</v>
      </c>
      <c r="C82" s="3">
        <v>2</v>
      </c>
      <c r="D82" s="13">
        <f t="shared" si="9"/>
        <v>0</v>
      </c>
      <c r="E82" s="4">
        <v>6.0000000000000001E-3</v>
      </c>
      <c r="F82" s="3">
        <v>2</v>
      </c>
      <c r="G82" s="2">
        <f t="shared" si="10"/>
        <v>0</v>
      </c>
      <c r="H82" s="4">
        <v>8.0000003799796104E-3</v>
      </c>
      <c r="J82" s="14" t="s">
        <v>37</v>
      </c>
      <c r="K82" s="5">
        <f t="shared" si="11"/>
        <v>2</v>
      </c>
      <c r="L82" s="3">
        <v>2</v>
      </c>
      <c r="M82" s="13">
        <f t="shared" si="12"/>
        <v>0</v>
      </c>
      <c r="N82" s="4">
        <v>6.0000000000000001E-3</v>
      </c>
      <c r="O82" s="3">
        <v>2</v>
      </c>
      <c r="P82" s="13">
        <f t="shared" si="13"/>
        <v>0</v>
      </c>
      <c r="Q82" s="4">
        <v>8.0000003799796104E-3</v>
      </c>
    </row>
    <row r="83" spans="1:17" x14ac:dyDescent="0.35">
      <c r="A83" s="1" t="s">
        <v>38</v>
      </c>
      <c r="B83" s="5">
        <f t="shared" si="8"/>
        <v>92</v>
      </c>
      <c r="C83" s="3">
        <v>92</v>
      </c>
      <c r="D83" s="13">
        <f t="shared" si="9"/>
        <v>0</v>
      </c>
      <c r="E83" s="4">
        <v>0.61000001400000003</v>
      </c>
      <c r="F83" s="3">
        <v>93</v>
      </c>
      <c r="G83" s="2">
        <f t="shared" si="10"/>
        <v>1.0869565217391304E-2</v>
      </c>
      <c r="H83" s="4">
        <v>0.33300000429153442</v>
      </c>
      <c r="J83" s="14" t="s">
        <v>38</v>
      </c>
      <c r="K83" s="5">
        <f t="shared" si="11"/>
        <v>92</v>
      </c>
      <c r="L83" s="3">
        <v>92</v>
      </c>
      <c r="M83" s="13">
        <f t="shared" si="12"/>
        <v>0</v>
      </c>
      <c r="N83" s="4">
        <v>0.61000001400000003</v>
      </c>
      <c r="O83" s="3">
        <v>96</v>
      </c>
      <c r="P83" s="13">
        <f t="shared" si="13"/>
        <v>4.3478260869565216E-2</v>
      </c>
      <c r="Q83" s="4">
        <v>0.33300000429153442</v>
      </c>
    </row>
    <row r="84" spans="1:17" ht="15" thickBot="1" x14ac:dyDescent="0.4">
      <c r="A84" s="1" t="s">
        <v>39</v>
      </c>
      <c r="B84" s="5">
        <f t="shared" si="8"/>
        <v>20</v>
      </c>
      <c r="C84" s="3">
        <v>20</v>
      </c>
      <c r="D84" s="13">
        <f t="shared" si="9"/>
        <v>0</v>
      </c>
      <c r="E84" s="4">
        <v>3.4000002000000001E-2</v>
      </c>
      <c r="F84" s="3">
        <v>20</v>
      </c>
      <c r="G84" s="2">
        <f t="shared" si="10"/>
        <v>0</v>
      </c>
      <c r="H84" s="4">
        <v>2.3000000044703484E-2</v>
      </c>
      <c r="J84" s="15" t="s">
        <v>39</v>
      </c>
      <c r="K84" s="5">
        <f t="shared" si="11"/>
        <v>20</v>
      </c>
      <c r="L84" s="3">
        <v>20</v>
      </c>
      <c r="M84" s="13">
        <f t="shared" si="12"/>
        <v>0</v>
      </c>
      <c r="N84" s="4">
        <v>3.4000002000000001E-2</v>
      </c>
      <c r="O84" s="3">
        <v>20</v>
      </c>
      <c r="P84" s="13">
        <f t="shared" si="13"/>
        <v>0</v>
      </c>
      <c r="Q84" s="4">
        <v>2.3000000044703484E-2</v>
      </c>
    </row>
    <row r="85" spans="1:17" ht="15" thickBot="1" x14ac:dyDescent="0.4">
      <c r="C85" s="7">
        <f>AVERAGE(C46:C84)</f>
        <v>72.487179487179489</v>
      </c>
      <c r="D85" s="11">
        <f>AVERAGE(D46:D84)</f>
        <v>1.3149243918474686E-3</v>
      </c>
      <c r="E85" s="10">
        <f t="shared" ref="E85" si="14">AVERAGE(E46:E84)</f>
        <v>0.23889743738461547</v>
      </c>
      <c r="F85" s="7">
        <f t="shared" ref="F85" si="15">AVERAGE(F46:F84)</f>
        <v>72.948717948717942</v>
      </c>
      <c r="G85" s="11">
        <f>AVERAGE(G46:G84)</f>
        <v>3.9810912654915888E-3</v>
      </c>
      <c r="H85" s="10">
        <f t="shared" ref="H85" si="16">AVERAGE(H46:H84)</f>
        <v>0.12358974536451009</v>
      </c>
      <c r="L85" s="7">
        <f>AVERAGE(L46:L84)</f>
        <v>72.487179487179489</v>
      </c>
      <c r="M85" s="11">
        <f>AVERAGE(M46:M84)</f>
        <v>1.6172723999270801E-3</v>
      </c>
      <c r="N85" s="10">
        <f t="shared" ref="N85" si="17">AVERAGE(N46:N84)</f>
        <v>0.23889743738461547</v>
      </c>
      <c r="O85" s="7">
        <f t="shared" ref="O85" si="18">AVERAGE(O46:O84)</f>
        <v>73.358974358974365</v>
      </c>
      <c r="P85" s="11">
        <f>AVERAGE(P46:P84)</f>
        <v>7.6168123104999918E-3</v>
      </c>
      <c r="Q85" s="10">
        <f t="shared" ref="Q85" si="19">AVERAGE(Q46:Q84)</f>
        <v>0.12358974536451009</v>
      </c>
    </row>
    <row r="86" spans="1:17" ht="15" thickBot="1" x14ac:dyDescent="0.4">
      <c r="C86" s="12">
        <f>COUNTIF(D$46:D$84,0)</f>
        <v>38</v>
      </c>
      <c r="F86" s="12">
        <f>COUNTIF(G$46:G$84,0)</f>
        <v>30</v>
      </c>
      <c r="L86" s="12">
        <f>COUNTIF(M$46:M$84,0)</f>
        <v>36</v>
      </c>
      <c r="O86" s="12">
        <f>COUNTIF(P$46:P$84,0)</f>
        <v>28</v>
      </c>
    </row>
  </sheetData>
  <conditionalFormatting sqref="D46:D84">
    <cfRule type="colorScale" priority="3">
      <colorScale>
        <cfvo type="min"/>
        <cfvo type="max"/>
        <color rgb="FFFCFCFF"/>
        <color rgb="FFF8696B"/>
      </colorScale>
    </cfRule>
  </conditionalFormatting>
  <conditionalFormatting sqref="M46:M84">
    <cfRule type="colorScale" priority="2">
      <colorScale>
        <cfvo type="min"/>
        <cfvo type="max"/>
        <color rgb="FFFCFCFF"/>
        <color rgb="FFF8696B"/>
      </colorScale>
    </cfRule>
  </conditionalFormatting>
  <conditionalFormatting sqref="P46:P8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Salazar Cárdenas</cp:lastModifiedBy>
  <dcterms:created xsi:type="dcterms:W3CDTF">2026-10-08T21:21:25Z</dcterms:created>
  <dcterms:modified xsi:type="dcterms:W3CDTF">2026-10-08T22:19:25Z</dcterms:modified>
</cp:coreProperties>
</file>